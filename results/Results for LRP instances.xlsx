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ps/Desktop/LRPHSD/results/"/>
    </mc:Choice>
  </mc:AlternateContent>
  <xr:revisionPtr revIDLastSave="0" documentId="13_ncr:1_{A2A8E775-9AB4-5243-92A2-408080288E6D}" xr6:coauthVersionLast="47" xr6:coauthVersionMax="47" xr10:uidLastSave="{00000000-0000-0000-0000-000000000000}"/>
  <bookViews>
    <workbookView xWindow="1040" yWindow="1260" windowWidth="27700" windowHeight="16260" xr2:uid="{0B8DF199-7A5D-6342-8B9E-041D8FB9B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2" i="1" l="1"/>
  <c r="S102" i="1"/>
  <c r="R102" i="1"/>
  <c r="Q102" i="1"/>
  <c r="P102" i="1"/>
  <c r="O102" i="1"/>
  <c r="N102" i="1"/>
  <c r="M102" i="1"/>
  <c r="L102" i="1"/>
  <c r="K102" i="1"/>
  <c r="J102" i="1"/>
  <c r="E102" i="1"/>
  <c r="D102" i="1"/>
  <c r="W101" i="1"/>
  <c r="W100" i="1"/>
  <c r="W99" i="1"/>
  <c r="W98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W92" i="1"/>
  <c r="V92" i="1"/>
  <c r="W91" i="1"/>
  <c r="V91" i="1"/>
  <c r="W90" i="1"/>
  <c r="V90" i="1"/>
  <c r="W89" i="1"/>
  <c r="V89" i="1"/>
  <c r="W88" i="1"/>
  <c r="V88" i="1"/>
  <c r="W87" i="1"/>
  <c r="V87" i="1"/>
  <c r="W86" i="1"/>
  <c r="V86" i="1"/>
  <c r="W85" i="1"/>
  <c r="V85" i="1"/>
  <c r="W84" i="1"/>
  <c r="V84" i="1"/>
  <c r="V74" i="1"/>
  <c r="S74" i="1"/>
  <c r="R74" i="1"/>
  <c r="Q74" i="1"/>
  <c r="P74" i="1"/>
  <c r="O74" i="1"/>
  <c r="N74" i="1"/>
  <c r="M74" i="1"/>
  <c r="L74" i="1"/>
  <c r="K74" i="1"/>
  <c r="J74" i="1"/>
  <c r="W74" i="1" s="1"/>
  <c r="E74" i="1"/>
  <c r="D74" i="1"/>
  <c r="W73" i="1"/>
  <c r="W72" i="1"/>
  <c r="W71" i="1"/>
  <c r="W70" i="1"/>
  <c r="W69" i="1"/>
  <c r="W68" i="1"/>
  <c r="W67" i="1"/>
  <c r="W66" i="1"/>
  <c r="W65" i="1"/>
  <c r="W64" i="1"/>
  <c r="W63" i="1"/>
  <c r="W62" i="1"/>
  <c r="U53" i="1"/>
  <c r="S53" i="1"/>
  <c r="R53" i="1"/>
  <c r="Q53" i="1"/>
  <c r="P53" i="1"/>
  <c r="O53" i="1"/>
  <c r="N53" i="1"/>
  <c r="M53" i="1"/>
  <c r="L53" i="1"/>
  <c r="K53" i="1"/>
  <c r="J53" i="1"/>
  <c r="I53" i="1"/>
  <c r="H53" i="1"/>
  <c r="E53" i="1"/>
  <c r="D53" i="1"/>
  <c r="W52" i="1"/>
  <c r="V52" i="1"/>
  <c r="W51" i="1"/>
  <c r="V51" i="1"/>
  <c r="W50" i="1"/>
  <c r="V50" i="1"/>
  <c r="W49" i="1"/>
  <c r="V49" i="1"/>
  <c r="W48" i="1"/>
  <c r="V48" i="1"/>
  <c r="W47" i="1"/>
  <c r="V47" i="1"/>
  <c r="W46" i="1"/>
  <c r="V46" i="1"/>
  <c r="W45" i="1"/>
  <c r="V45" i="1"/>
  <c r="W44" i="1"/>
  <c r="V44" i="1"/>
  <c r="W43" i="1"/>
  <c r="V43" i="1"/>
  <c r="W42" i="1"/>
  <c r="V42" i="1"/>
  <c r="W41" i="1"/>
  <c r="V41" i="1"/>
  <c r="W40" i="1"/>
  <c r="V40" i="1"/>
  <c r="W39" i="1"/>
  <c r="V39" i="1"/>
  <c r="W38" i="1"/>
  <c r="V38" i="1"/>
  <c r="W37" i="1"/>
  <c r="V37" i="1"/>
  <c r="W36" i="1"/>
  <c r="V36" i="1"/>
  <c r="W35" i="1"/>
  <c r="V35" i="1"/>
  <c r="W34" i="1"/>
  <c r="V34" i="1"/>
  <c r="W33" i="1"/>
  <c r="V33" i="1"/>
  <c r="W32" i="1"/>
  <c r="V32" i="1"/>
  <c r="W31" i="1"/>
  <c r="V31" i="1"/>
  <c r="W30" i="1"/>
  <c r="V30" i="1"/>
  <c r="W29" i="1"/>
  <c r="V29" i="1"/>
  <c r="W28" i="1"/>
  <c r="V28" i="1"/>
  <c r="W27" i="1"/>
  <c r="V27" i="1"/>
  <c r="W26" i="1"/>
  <c r="V26" i="1"/>
  <c r="W25" i="1"/>
  <c r="V25" i="1"/>
  <c r="W24" i="1"/>
  <c r="V24" i="1"/>
  <c r="W23" i="1"/>
  <c r="V23" i="1"/>
  <c r="S18" i="1"/>
  <c r="R18" i="1"/>
  <c r="Q18" i="1"/>
  <c r="P18" i="1"/>
  <c r="O18" i="1"/>
  <c r="N18" i="1"/>
  <c r="M18" i="1"/>
  <c r="L18" i="1"/>
  <c r="K18" i="1"/>
  <c r="J18" i="1"/>
  <c r="I18" i="1"/>
  <c r="H18" i="1"/>
  <c r="F18" i="1"/>
  <c r="E18" i="1"/>
  <c r="D18" i="1"/>
  <c r="W17" i="1"/>
  <c r="V17" i="1"/>
  <c r="U17" i="1"/>
  <c r="T17" i="1"/>
  <c r="W16" i="1"/>
  <c r="V16" i="1"/>
  <c r="W15" i="1"/>
  <c r="V15" i="1"/>
  <c r="U15" i="1"/>
  <c r="T15" i="1"/>
  <c r="W14" i="1"/>
  <c r="V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T18" i="1" s="1"/>
  <c r="W7" i="1"/>
  <c r="V7" i="1"/>
  <c r="U7" i="1"/>
  <c r="T7" i="1"/>
  <c r="W6" i="1"/>
  <c r="V6" i="1"/>
  <c r="U6" i="1"/>
  <c r="T6" i="1"/>
  <c r="W5" i="1"/>
  <c r="V5" i="1"/>
  <c r="V18" i="1" s="1"/>
  <c r="W53" i="1" l="1"/>
  <c r="U18" i="1"/>
  <c r="V53" i="1"/>
  <c r="W102" i="1"/>
  <c r="V93" i="1"/>
  <c r="W18" i="1"/>
  <c r="W93" i="1"/>
</calcChain>
</file>

<file path=xl/sharedStrings.xml><?xml version="1.0" encoding="utf-8"?>
<sst xmlns="http://schemas.openxmlformats.org/spreadsheetml/2006/main" count="285" uniqueCount="114">
  <si>
    <t>GANCP+</t>
    <phoneticPr fontId="2" type="noConversion"/>
  </si>
  <si>
    <t>HGAMP</t>
    <phoneticPr fontId="2" type="noConversion"/>
  </si>
  <si>
    <t>ALNS</t>
    <phoneticPr fontId="2" type="noConversion"/>
  </si>
  <si>
    <t>Basic TSALNS</t>
    <phoneticPr fontId="2" type="noConversion"/>
  </si>
  <si>
    <t>TSALNS</t>
    <phoneticPr fontId="2" type="noConversion"/>
  </si>
  <si>
    <t>Instance</t>
  </si>
  <si>
    <t>(|J|,|I|)</t>
  </si>
  <si>
    <t>UB</t>
  </si>
  <si>
    <t>Time</t>
  </si>
  <si>
    <t>Best</t>
  </si>
  <si>
    <t>time</t>
  </si>
  <si>
    <t>Best</t>
    <phoneticPr fontId="2" type="noConversion"/>
  </si>
  <si>
    <t>Avergae</t>
    <phoneticPr fontId="2" type="noConversion"/>
  </si>
  <si>
    <t>Time</t>
    <phoneticPr fontId="2" type="noConversion"/>
  </si>
  <si>
    <t>Average</t>
    <phoneticPr fontId="2" type="noConversion"/>
  </si>
  <si>
    <t>Average</t>
  </si>
  <si>
    <t>delta1</t>
    <phoneticPr fontId="2" type="noConversion"/>
  </si>
  <si>
    <t>delta2</t>
    <phoneticPr fontId="2" type="noConversion"/>
  </si>
  <si>
    <t>delta3</t>
    <phoneticPr fontId="2" type="noConversion"/>
  </si>
  <si>
    <t>delta4</t>
    <phoneticPr fontId="2" type="noConversion"/>
  </si>
  <si>
    <t>delta5</t>
    <phoneticPr fontId="2" type="noConversion"/>
  </si>
  <si>
    <t>Perl83-12x2</t>
  </si>
  <si>
    <t>12,2</t>
  </si>
  <si>
    <t>Gas67-21x5</t>
  </si>
  <si>
    <t>21,5</t>
  </si>
  <si>
    <t>Gas67-22x5</t>
  </si>
  <si>
    <t>22,5</t>
  </si>
  <si>
    <t>Min92-27x5</t>
  </si>
  <si>
    <t>27,5</t>
  </si>
  <si>
    <t>Gas67-29x5</t>
  </si>
  <si>
    <t>29,5</t>
  </si>
  <si>
    <t>Gas67-32x5</t>
  </si>
  <si>
    <t>32,5</t>
  </si>
  <si>
    <t>Gas67-32x5-2</t>
  </si>
  <si>
    <t>Gas67-36x5</t>
  </si>
  <si>
    <t>36,5</t>
  </si>
  <si>
    <t>Chr69-50x5ba</t>
  </si>
  <si>
    <t>50,5</t>
  </si>
  <si>
    <t>Perl83-55x15</t>
  </si>
  <si>
    <t>55,15</t>
  </si>
  <si>
    <t>Chr69-75x10b</t>
  </si>
  <si>
    <t>75,10</t>
  </si>
  <si>
    <t>Perl83-85x7</t>
  </si>
  <si>
    <t>85,7</t>
  </si>
  <si>
    <t>Chr69-100x10</t>
  </si>
  <si>
    <t>100,10</t>
  </si>
  <si>
    <t>20-5-1a</t>
  </si>
  <si>
    <t>20,5</t>
  </si>
  <si>
    <t>20-5-1b</t>
  </si>
  <si>
    <t>20-5-2a</t>
  </si>
  <si>
    <t>20-5-2b</t>
  </si>
  <si>
    <t>50_5_1</t>
  </si>
  <si>
    <t>50-5-1b</t>
  </si>
  <si>
    <t>50,5</t>
    <phoneticPr fontId="2" type="noConversion"/>
  </si>
  <si>
    <t>50_5_2</t>
  </si>
  <si>
    <t>50-5-2b</t>
  </si>
  <si>
    <t>50-5-2bis</t>
  </si>
  <si>
    <t>50-5-2bbis</t>
  </si>
  <si>
    <t>50_5_3</t>
  </si>
  <si>
    <t>50-5-3b</t>
  </si>
  <si>
    <t>100-5-1</t>
  </si>
  <si>
    <t>100,5</t>
  </si>
  <si>
    <t>100-5-1b</t>
  </si>
  <si>
    <t>100-5-2</t>
  </si>
  <si>
    <t>100-5-2b</t>
  </si>
  <si>
    <t>100-5-3</t>
  </si>
  <si>
    <t>100-5-3b</t>
  </si>
  <si>
    <t>100-10-1</t>
  </si>
  <si>
    <t>100-10-1b</t>
  </si>
  <si>
    <t>100-10-2</t>
  </si>
  <si>
    <t>100-10-2b</t>
  </si>
  <si>
    <t>100-10-3</t>
  </si>
  <si>
    <t>100-10-3b</t>
  </si>
  <si>
    <t>200-10-1</t>
  </si>
  <si>
    <t>200,10</t>
  </si>
  <si>
    <t>200-10-1b</t>
  </si>
  <si>
    <t>200-10-2</t>
  </si>
  <si>
    <t>200-10-2b</t>
  </si>
  <si>
    <t>200-10-3</t>
  </si>
  <si>
    <t>200-10-3b</t>
  </si>
  <si>
    <t>r30x5a-1</t>
  </si>
  <si>
    <t>30,5</t>
  </si>
  <si>
    <t>r30x5a-2</t>
  </si>
  <si>
    <t>r30x5a-3</t>
  </si>
  <si>
    <t>r30x5b-1</t>
  </si>
  <si>
    <t>r30x5b-2</t>
  </si>
  <si>
    <t>r30x5b-3</t>
  </si>
  <si>
    <t>r40x5a-1</t>
  </si>
  <si>
    <t>40,5</t>
  </si>
  <si>
    <t>r40x5a-2</t>
  </si>
  <si>
    <t>r40x5a-3</t>
  </si>
  <si>
    <t>r40x5b-1</t>
  </si>
  <si>
    <t>r40x5b-2</t>
  </si>
  <si>
    <t>r40x5b-3</t>
  </si>
  <si>
    <t>deta5</t>
    <phoneticPr fontId="2" type="noConversion"/>
  </si>
  <si>
    <t>P111112</t>
  </si>
  <si>
    <t>P111212</t>
  </si>
  <si>
    <t>P112112</t>
  </si>
  <si>
    <t>P112212</t>
  </si>
  <si>
    <t>P113112</t>
  </si>
  <si>
    <t>P113212</t>
  </si>
  <si>
    <t>P131112</t>
  </si>
  <si>
    <t>150,10</t>
  </si>
  <si>
    <t>P131212</t>
  </si>
  <si>
    <t>P132112</t>
  </si>
  <si>
    <t>M-n150x14a</t>
  </si>
  <si>
    <t>150,14</t>
  </si>
  <si>
    <t>M-n150×14b</t>
  </si>
  <si>
    <t>M-n199x14a</t>
  </si>
  <si>
    <t>199,14</t>
  </si>
  <si>
    <t>M-n199x14b</t>
  </si>
  <si>
    <t>Best kown from exact approches</t>
  </si>
  <si>
    <t>Not reported by the related papers</t>
    <phoneticPr fontId="1" type="noConversion"/>
  </si>
  <si>
    <t>Not reported by the related paper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</si>
</sst>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0_);[Red]\(0.00\)"/>
  </numFmts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0" xfId="0" applyAlignment="1"/>
    <xf numFmtId="0" fontId="0" fillId="0" borderId="3" xfId="0" applyBorder="1" applyAlignmen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0" fontId="0" fillId="0" borderId="0" xfId="0" applyNumberFormat="1" applyAlignment="1"/>
    <xf numFmtId="10" fontId="0" fillId="0" borderId="3" xfId="0" applyNumberFormat="1" applyBorder="1" applyAlignment="1"/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/>
    <xf numFmtId="176" fontId="0" fillId="0" borderId="2" xfId="0" applyNumberFormat="1" applyBorder="1" applyAlignment="1"/>
    <xf numFmtId="10" fontId="0" fillId="0" borderId="2" xfId="0" applyNumberFormat="1" applyBorder="1" applyAlignment="1"/>
    <xf numFmtId="178" fontId="0" fillId="0" borderId="2" xfId="0" applyNumberFormat="1" applyBorder="1" applyAlignment="1"/>
    <xf numFmtId="178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0842-40DE-1F48-A262-409EB8F6B6D1}">
  <dimension ref="B3:W102"/>
  <sheetViews>
    <sheetView tabSelected="1" topLeftCell="A159" workbookViewId="0">
      <selection activeCell="L77" sqref="L77"/>
    </sheetView>
  </sheetViews>
  <sheetFormatPr baseColWidth="10" defaultRowHeight="16"/>
  <cols>
    <col min="4" max="4" width="11" bestFit="1" customWidth="1"/>
    <col min="5" max="5" width="11.1640625" bestFit="1" customWidth="1"/>
    <col min="10" max="19" width="11" bestFit="1" customWidth="1"/>
  </cols>
  <sheetData>
    <row r="3" spans="2:23">
      <c r="B3" s="1"/>
      <c r="C3" s="1"/>
      <c r="D3" s="24" t="s">
        <v>111</v>
      </c>
      <c r="E3" s="24"/>
      <c r="F3" s="25" t="s">
        <v>0</v>
      </c>
      <c r="G3" s="25"/>
      <c r="H3" s="25" t="s">
        <v>1</v>
      </c>
      <c r="I3" s="25"/>
      <c r="J3" s="25" t="s">
        <v>2</v>
      </c>
      <c r="K3" s="25"/>
      <c r="L3" s="25"/>
      <c r="M3" s="25" t="s">
        <v>3</v>
      </c>
      <c r="N3" s="25"/>
      <c r="O3" s="25"/>
      <c r="P3" s="25" t="s">
        <v>4</v>
      </c>
      <c r="Q3" s="25"/>
      <c r="R3" s="25"/>
      <c r="S3" s="25"/>
      <c r="T3" s="25"/>
      <c r="U3" s="25"/>
      <c r="V3" s="25"/>
      <c r="W3" s="25"/>
    </row>
    <row r="4" spans="2:23">
      <c r="B4" s="2" t="s">
        <v>5</v>
      </c>
      <c r="C4" s="2" t="s">
        <v>6</v>
      </c>
      <c r="D4" s="2" t="s">
        <v>7</v>
      </c>
      <c r="E4" s="2" t="s">
        <v>8</v>
      </c>
      <c r="F4" s="4" t="s">
        <v>9</v>
      </c>
      <c r="G4" s="4" t="s">
        <v>10</v>
      </c>
      <c r="H4" s="4" t="s">
        <v>9</v>
      </c>
      <c r="I4" s="4" t="s">
        <v>10</v>
      </c>
      <c r="J4" s="5" t="s">
        <v>11</v>
      </c>
      <c r="K4" s="5" t="s">
        <v>12</v>
      </c>
      <c r="L4" s="4" t="s">
        <v>13</v>
      </c>
      <c r="M4" s="4" t="s">
        <v>11</v>
      </c>
      <c r="N4" s="4" t="s">
        <v>14</v>
      </c>
      <c r="O4" s="4" t="s">
        <v>13</v>
      </c>
      <c r="P4" s="4" t="s">
        <v>9</v>
      </c>
      <c r="Q4" s="4" t="s">
        <v>15</v>
      </c>
      <c r="R4" s="4" t="s">
        <v>13</v>
      </c>
      <c r="S4" s="2" t="s">
        <v>16</v>
      </c>
      <c r="T4" s="2" t="s">
        <v>17</v>
      </c>
      <c r="U4" s="2" t="s">
        <v>18</v>
      </c>
      <c r="V4" s="4" t="s">
        <v>19</v>
      </c>
      <c r="W4" s="4" t="s">
        <v>20</v>
      </c>
    </row>
    <row r="5" spans="2:23">
      <c r="B5" s="3" t="s">
        <v>21</v>
      </c>
      <c r="C5" s="6" t="s">
        <v>22</v>
      </c>
      <c r="D5" s="3">
        <v>204</v>
      </c>
      <c r="E5" s="3">
        <v>0.03</v>
      </c>
      <c r="F5" s="3"/>
      <c r="G5" s="3"/>
      <c r="H5" s="3"/>
      <c r="I5" s="3"/>
      <c r="J5" s="7">
        <v>205.45670799999999</v>
      </c>
      <c r="K5" s="7">
        <v>205.45670799999999</v>
      </c>
      <c r="L5" s="8">
        <v>0.34857399999999999</v>
      </c>
      <c r="M5" s="3">
        <v>204</v>
      </c>
      <c r="N5" s="3">
        <v>204</v>
      </c>
      <c r="O5" s="3">
        <v>0.59</v>
      </c>
      <c r="P5" s="3">
        <v>204</v>
      </c>
      <c r="Q5" s="3">
        <v>204</v>
      </c>
      <c r="R5" s="3">
        <v>0.61</v>
      </c>
      <c r="S5" s="3">
        <v>0</v>
      </c>
      <c r="T5" s="9"/>
      <c r="U5" s="9"/>
      <c r="V5" s="9">
        <f t="shared" ref="V5:V17" si="0">(Q5-D5)/Q5</f>
        <v>0</v>
      </c>
      <c r="W5" s="9">
        <f>(P5-J5)/P5</f>
        <v>-7.1407254901960388E-3</v>
      </c>
    </row>
    <row r="6" spans="2:23">
      <c r="B6" s="3" t="s">
        <v>23</v>
      </c>
      <c r="C6" s="6" t="s">
        <v>24</v>
      </c>
      <c r="D6" s="3">
        <v>424.9</v>
      </c>
      <c r="E6" s="3">
        <v>0.23</v>
      </c>
      <c r="F6" s="3">
        <v>429.6</v>
      </c>
      <c r="G6" s="3">
        <v>3.37</v>
      </c>
      <c r="H6" s="3">
        <v>424.9</v>
      </c>
      <c r="I6" s="3">
        <v>5.16</v>
      </c>
      <c r="J6" s="7">
        <v>424.899135</v>
      </c>
      <c r="K6" s="7">
        <v>424.899135</v>
      </c>
      <c r="L6" s="8">
        <v>6.6151000000000001E-2</v>
      </c>
      <c r="M6" s="3">
        <v>424.9</v>
      </c>
      <c r="N6" s="3">
        <v>424.9</v>
      </c>
      <c r="O6" s="3">
        <v>1.1000000000000001</v>
      </c>
      <c r="P6" s="3">
        <v>424.9</v>
      </c>
      <c r="Q6" s="3">
        <v>424.9</v>
      </c>
      <c r="R6" s="3">
        <v>0.93</v>
      </c>
      <c r="S6" s="3">
        <v>0</v>
      </c>
      <c r="T6" s="9">
        <f t="shared" ref="T6:T13" si="1">(P6-F6)/P6</f>
        <v>-1.106142621793374E-2</v>
      </c>
      <c r="U6" s="9">
        <f t="shared" ref="U6:U13" si="2">(P6-H6)/P6</f>
        <v>0</v>
      </c>
      <c r="V6" s="9">
        <f t="shared" si="0"/>
        <v>0</v>
      </c>
      <c r="W6" s="9">
        <f t="shared" ref="W6:W17" si="3">(P6-J6)/P6</f>
        <v>2.035773123031619E-6</v>
      </c>
    </row>
    <row r="7" spans="2:23">
      <c r="B7" s="3" t="s">
        <v>25</v>
      </c>
      <c r="C7" s="6" t="s">
        <v>26</v>
      </c>
      <c r="D7" s="3">
        <v>585.11</v>
      </c>
      <c r="E7" s="3">
        <v>0.33</v>
      </c>
      <c r="F7" s="3">
        <v>585.1</v>
      </c>
      <c r="G7" s="3">
        <v>3.01</v>
      </c>
      <c r="H7" s="3">
        <v>585.1</v>
      </c>
      <c r="I7" s="3">
        <v>5.77</v>
      </c>
      <c r="J7" s="7">
        <v>585.10853999999995</v>
      </c>
      <c r="K7" s="7">
        <v>585.10853999999995</v>
      </c>
      <c r="L7" s="8">
        <v>1.44296</v>
      </c>
      <c r="M7" s="3">
        <v>585.11</v>
      </c>
      <c r="N7" s="3">
        <v>585.11</v>
      </c>
      <c r="O7" s="3">
        <v>1.02</v>
      </c>
      <c r="P7" s="3">
        <v>585.11</v>
      </c>
      <c r="Q7" s="3">
        <v>585.11</v>
      </c>
      <c r="R7" s="3">
        <v>1.1100000000000001</v>
      </c>
      <c r="S7" s="3">
        <v>0</v>
      </c>
      <c r="T7" s="9">
        <f t="shared" si="1"/>
        <v>1.7090803438654108E-5</v>
      </c>
      <c r="U7" s="9">
        <f t="shared" si="2"/>
        <v>1.7090803438654108E-5</v>
      </c>
      <c r="V7" s="9">
        <f t="shared" si="0"/>
        <v>0</v>
      </c>
      <c r="W7" s="9">
        <f t="shared" si="3"/>
        <v>2.495257302157748E-6</v>
      </c>
    </row>
    <row r="8" spans="2:23">
      <c r="B8" s="3" t="s">
        <v>27</v>
      </c>
      <c r="C8" s="6" t="s">
        <v>28</v>
      </c>
      <c r="D8" s="3">
        <v>3062.02</v>
      </c>
      <c r="E8" s="3">
        <v>0.31</v>
      </c>
      <c r="F8" s="3">
        <v>3062</v>
      </c>
      <c r="G8" s="3">
        <v>2.85</v>
      </c>
      <c r="H8" s="3">
        <v>3062.02</v>
      </c>
      <c r="I8" s="3">
        <v>215.2</v>
      </c>
      <c r="J8" s="7">
        <v>3062.0174710000001</v>
      </c>
      <c r="K8" s="7">
        <v>3062.0174710000001</v>
      </c>
      <c r="L8" s="8">
        <v>0.95355999999999996</v>
      </c>
      <c r="M8" s="3">
        <v>3062.02</v>
      </c>
      <c r="N8" s="3">
        <v>3063.57</v>
      </c>
      <c r="O8" s="3">
        <v>1.55</v>
      </c>
      <c r="P8" s="3">
        <v>3062.02</v>
      </c>
      <c r="Q8" s="3">
        <v>3062.02</v>
      </c>
      <c r="R8" s="3">
        <v>1.72</v>
      </c>
      <c r="S8" s="3">
        <v>0</v>
      </c>
      <c r="T8" s="9">
        <f t="shared" si="1"/>
        <v>6.5316359788576854E-6</v>
      </c>
      <c r="U8" s="9">
        <f t="shared" si="2"/>
        <v>0</v>
      </c>
      <c r="V8" s="9">
        <f t="shared" si="0"/>
        <v>0</v>
      </c>
      <c r="W8" s="9">
        <f t="shared" si="3"/>
        <v>8.2592536948408729E-7</v>
      </c>
    </row>
    <row r="9" spans="2:23">
      <c r="B9" s="3" t="s">
        <v>29</v>
      </c>
      <c r="C9" s="6" t="s">
        <v>30</v>
      </c>
      <c r="D9" s="3">
        <v>512.1</v>
      </c>
      <c r="E9" s="3">
        <v>4.2</v>
      </c>
      <c r="F9" s="3">
        <v>512.1</v>
      </c>
      <c r="G9" s="3">
        <v>2.57</v>
      </c>
      <c r="H9" s="3">
        <v>512.1</v>
      </c>
      <c r="I9" s="3">
        <v>7.94</v>
      </c>
      <c r="J9" s="7">
        <v>512.10300199999995</v>
      </c>
      <c r="K9" s="7">
        <v>544.61190399999998</v>
      </c>
      <c r="L9" s="8">
        <v>1.9111</v>
      </c>
      <c r="M9" s="3">
        <v>512.1</v>
      </c>
      <c r="N9" s="3">
        <v>514.4</v>
      </c>
      <c r="O9" s="3">
        <v>3.4</v>
      </c>
      <c r="P9" s="3">
        <v>512.1</v>
      </c>
      <c r="Q9" s="3">
        <v>512.1</v>
      </c>
      <c r="R9" s="3">
        <v>3.3</v>
      </c>
      <c r="S9" s="3">
        <v>0</v>
      </c>
      <c r="T9" s="9">
        <f t="shared" si="1"/>
        <v>0</v>
      </c>
      <c r="U9" s="9">
        <f t="shared" si="2"/>
        <v>0</v>
      </c>
      <c r="V9" s="9">
        <f t="shared" si="0"/>
        <v>0</v>
      </c>
      <c r="W9" s="9">
        <f t="shared" si="3"/>
        <v>-5.8621363013552232E-6</v>
      </c>
    </row>
    <row r="10" spans="2:23">
      <c r="B10" s="3" t="s">
        <v>31</v>
      </c>
      <c r="C10" s="6" t="s">
        <v>32</v>
      </c>
      <c r="D10" s="3">
        <v>562.22</v>
      </c>
      <c r="E10" s="3">
        <v>6.52</v>
      </c>
      <c r="F10" s="3">
        <v>562.20000000000005</v>
      </c>
      <c r="G10" s="3">
        <v>3.02</v>
      </c>
      <c r="H10" s="3">
        <v>562.22</v>
      </c>
      <c r="I10" s="3">
        <v>37.85</v>
      </c>
      <c r="J10" s="7">
        <v>562.22331699999995</v>
      </c>
      <c r="K10" s="7">
        <v>563.22203400000001</v>
      </c>
      <c r="L10" s="8">
        <v>1.3821399999999999</v>
      </c>
      <c r="M10" s="3">
        <v>562.22</v>
      </c>
      <c r="N10" s="3">
        <v>563.98</v>
      </c>
      <c r="O10" s="3">
        <v>3.45</v>
      </c>
      <c r="P10" s="3">
        <v>562.22</v>
      </c>
      <c r="Q10" s="3">
        <v>563.42999999999995</v>
      </c>
      <c r="R10" s="3">
        <v>3.51</v>
      </c>
      <c r="S10" s="3">
        <v>0</v>
      </c>
      <c r="T10" s="9">
        <f t="shared" si="1"/>
        <v>3.5573263135395058E-5</v>
      </c>
      <c r="U10" s="9">
        <f t="shared" si="2"/>
        <v>0</v>
      </c>
      <c r="V10" s="9">
        <f t="shared" si="0"/>
        <v>2.147560477787698E-3</v>
      </c>
      <c r="W10" s="9">
        <f>(P10-J10)/P10</f>
        <v>-5.8998256908763814E-6</v>
      </c>
    </row>
    <row r="11" spans="2:23">
      <c r="B11" s="3" t="s">
        <v>33</v>
      </c>
      <c r="C11" s="6" t="s">
        <v>32</v>
      </c>
      <c r="D11" s="3">
        <v>504.33</v>
      </c>
      <c r="E11" s="3">
        <v>0.7</v>
      </c>
      <c r="F11" s="3">
        <v>504.3</v>
      </c>
      <c r="G11" s="3">
        <v>2.7</v>
      </c>
      <c r="H11" s="3">
        <v>504.3</v>
      </c>
      <c r="I11" s="3">
        <v>504.3</v>
      </c>
      <c r="J11" s="7">
        <v>504.32873000000001</v>
      </c>
      <c r="K11" s="7">
        <v>505.17649</v>
      </c>
      <c r="L11" s="8">
        <v>1.60205</v>
      </c>
      <c r="M11" s="3">
        <v>504.33</v>
      </c>
      <c r="N11" s="3">
        <v>505.27</v>
      </c>
      <c r="O11" s="3">
        <v>3.03</v>
      </c>
      <c r="P11" s="3">
        <v>504.33</v>
      </c>
      <c r="Q11" s="3">
        <v>506.73</v>
      </c>
      <c r="R11" s="3">
        <v>3.85</v>
      </c>
      <c r="S11" s="3">
        <v>0</v>
      </c>
      <c r="T11" s="9">
        <f t="shared" si="1"/>
        <v>5.9484861102795224E-5</v>
      </c>
      <c r="U11" s="9">
        <f t="shared" si="2"/>
        <v>5.9484861102795224E-5</v>
      </c>
      <c r="V11" s="9">
        <f t="shared" si="0"/>
        <v>4.7362500740039748E-3</v>
      </c>
      <c r="W11" s="9">
        <f t="shared" si="3"/>
        <v>2.5181924533079328E-6</v>
      </c>
    </row>
    <row r="12" spans="2:23">
      <c r="B12" s="3" t="s">
        <v>34</v>
      </c>
      <c r="C12" s="6" t="s">
        <v>35</v>
      </c>
      <c r="D12" s="3">
        <v>460.37</v>
      </c>
      <c r="E12" s="3">
        <v>1.04</v>
      </c>
      <c r="F12" s="3">
        <v>460.4</v>
      </c>
      <c r="G12" s="3">
        <v>2.54</v>
      </c>
      <c r="H12" s="3">
        <v>460.4</v>
      </c>
      <c r="I12" s="3">
        <v>298.69</v>
      </c>
      <c r="J12" s="7">
        <v>460.37420300000002</v>
      </c>
      <c r="K12" s="7">
        <v>460.37420300000002</v>
      </c>
      <c r="L12" s="8">
        <v>1.4500299999999999</v>
      </c>
      <c r="M12" s="3">
        <v>461.21</v>
      </c>
      <c r="N12" s="3">
        <v>461.99</v>
      </c>
      <c r="O12" s="3">
        <v>3.81</v>
      </c>
      <c r="P12" s="3">
        <v>460.37</v>
      </c>
      <c r="Q12" s="3">
        <v>460.37</v>
      </c>
      <c r="R12" s="3">
        <v>3.89</v>
      </c>
      <c r="S12" s="3">
        <v>0</v>
      </c>
      <c r="T12" s="9">
        <f t="shared" si="1"/>
        <v>-6.5164975997507912E-5</v>
      </c>
      <c r="U12" s="9">
        <f t="shared" si="2"/>
        <v>-6.5164975997507912E-5</v>
      </c>
      <c r="V12" s="9">
        <f t="shared" si="0"/>
        <v>0</v>
      </c>
      <c r="W12" s="9">
        <f t="shared" si="3"/>
        <v>-9.1296131372986167E-6</v>
      </c>
    </row>
    <row r="13" spans="2:23">
      <c r="B13" s="3" t="s">
        <v>36</v>
      </c>
      <c r="C13" s="6" t="s">
        <v>37</v>
      </c>
      <c r="D13" s="3">
        <v>565.62</v>
      </c>
      <c r="E13" s="3">
        <v>12.08</v>
      </c>
      <c r="F13" s="3">
        <v>592.9</v>
      </c>
      <c r="G13" s="3">
        <v>2.9</v>
      </c>
      <c r="H13" s="3">
        <v>565.6</v>
      </c>
      <c r="I13" s="3">
        <v>18.21</v>
      </c>
      <c r="J13" s="7">
        <v>592.85883100000001</v>
      </c>
      <c r="K13" s="7">
        <v>599.00143400000002</v>
      </c>
      <c r="L13" s="8">
        <v>1.4002600000000001</v>
      </c>
      <c r="M13" s="3">
        <v>570.11</v>
      </c>
      <c r="N13" s="3">
        <v>573.27</v>
      </c>
      <c r="O13" s="3">
        <v>7.66</v>
      </c>
      <c r="P13" s="3">
        <v>567.64</v>
      </c>
      <c r="Q13" s="3">
        <v>569.12</v>
      </c>
      <c r="R13" s="3">
        <v>8.2100000000000009</v>
      </c>
      <c r="S13" s="3">
        <v>0.36</v>
      </c>
      <c r="T13" s="9">
        <f t="shared" si="1"/>
        <v>-4.4500035233598745E-2</v>
      </c>
      <c r="U13" s="9">
        <f t="shared" si="2"/>
        <v>3.593827073497223E-3</v>
      </c>
      <c r="V13" s="9">
        <f t="shared" si="0"/>
        <v>6.1498453753162773E-3</v>
      </c>
      <c r="W13" s="9">
        <f t="shared" si="3"/>
        <v>-4.4427508632231737E-2</v>
      </c>
    </row>
    <row r="14" spans="2:23">
      <c r="B14" s="3" t="s">
        <v>38</v>
      </c>
      <c r="C14" s="6" t="s">
        <v>39</v>
      </c>
      <c r="D14" s="3">
        <v>1112.06</v>
      </c>
      <c r="E14" s="3">
        <v>240.75</v>
      </c>
      <c r="F14" s="3"/>
      <c r="G14" s="3"/>
      <c r="H14" s="3"/>
      <c r="I14" s="3"/>
      <c r="J14" s="7">
        <v>1128.4879060000001</v>
      </c>
      <c r="K14" s="7">
        <v>1130.8975190000001</v>
      </c>
      <c r="L14" s="8">
        <v>5.29941</v>
      </c>
      <c r="M14" s="3">
        <v>1114.0899999999999</v>
      </c>
      <c r="N14" s="3">
        <v>1118.6199999999999</v>
      </c>
      <c r="O14" s="3">
        <v>6.91</v>
      </c>
      <c r="P14" s="3">
        <v>1112.06</v>
      </c>
      <c r="Q14" s="3">
        <v>1121.22</v>
      </c>
      <c r="R14" s="3">
        <v>6.57</v>
      </c>
      <c r="S14" s="3">
        <v>0</v>
      </c>
      <c r="T14" s="9"/>
      <c r="U14" s="9"/>
      <c r="V14" s="9">
        <f t="shared" si="0"/>
        <v>8.169672321221599E-3</v>
      </c>
      <c r="W14" s="9">
        <f t="shared" si="3"/>
        <v>-1.477249968526889E-2</v>
      </c>
    </row>
    <row r="15" spans="2:23">
      <c r="B15" s="3" t="s">
        <v>40</v>
      </c>
      <c r="C15" s="6" t="s">
        <v>41</v>
      </c>
      <c r="D15" s="3">
        <v>844.4</v>
      </c>
      <c r="E15" s="3">
        <v>7006.42</v>
      </c>
      <c r="F15" s="3">
        <v>855.8</v>
      </c>
      <c r="G15" s="3">
        <v>3.41</v>
      </c>
      <c r="H15" s="3">
        <v>848.9</v>
      </c>
      <c r="I15" s="3">
        <v>734.75</v>
      </c>
      <c r="J15" s="7">
        <v>883.61440400000004</v>
      </c>
      <c r="K15" s="7">
        <v>891.01551199999994</v>
      </c>
      <c r="L15" s="8">
        <v>6.1028900000000004</v>
      </c>
      <c r="M15" s="3">
        <v>858.03</v>
      </c>
      <c r="N15" s="3">
        <v>862.63</v>
      </c>
      <c r="O15" s="3">
        <v>12.01</v>
      </c>
      <c r="P15" s="3">
        <v>857.99</v>
      </c>
      <c r="Q15" s="3">
        <v>861.86</v>
      </c>
      <c r="R15" s="3">
        <v>11.52</v>
      </c>
      <c r="S15" s="3">
        <v>1.58</v>
      </c>
      <c r="T15" s="9">
        <f>(P15-F15)/P15</f>
        <v>2.5524773016003155E-3</v>
      </c>
      <c r="U15" s="9">
        <f>(P15-H15)/P15</f>
        <v>1.0594529073765466E-2</v>
      </c>
      <c r="V15" s="9">
        <f t="shared" si="0"/>
        <v>2.0258510662984751E-2</v>
      </c>
      <c r="W15" s="9">
        <f t="shared" si="3"/>
        <v>-2.98656208114314E-2</v>
      </c>
    </row>
    <row r="16" spans="2:23">
      <c r="B16" s="3" t="s">
        <v>42</v>
      </c>
      <c r="C16" s="6" t="s">
        <v>43</v>
      </c>
      <c r="D16" s="3">
        <v>1622.5</v>
      </c>
      <c r="E16" s="3">
        <v>177.92</v>
      </c>
      <c r="F16" s="3"/>
      <c r="G16" s="3"/>
      <c r="H16" s="3"/>
      <c r="I16" s="3"/>
      <c r="J16" s="7">
        <v>1636.6430459999999</v>
      </c>
      <c r="K16" s="7">
        <v>1656.741456</v>
      </c>
      <c r="L16" s="8">
        <v>7.0678140000000003</v>
      </c>
      <c r="M16" s="4">
        <v>1641.31</v>
      </c>
      <c r="N16" s="3">
        <v>1644.76</v>
      </c>
      <c r="O16" s="3">
        <v>10.98</v>
      </c>
      <c r="P16" s="3">
        <v>1638.69</v>
      </c>
      <c r="Q16" s="3">
        <v>1639.68</v>
      </c>
      <c r="R16" s="3">
        <v>11.41</v>
      </c>
      <c r="S16" s="3">
        <v>0.99</v>
      </c>
      <c r="T16" s="9"/>
      <c r="U16" s="9"/>
      <c r="V16" s="9">
        <f t="shared" si="0"/>
        <v>1.0477654176424706E-2</v>
      </c>
      <c r="W16" s="9">
        <f t="shared" si="3"/>
        <v>1.2491404719624465E-3</v>
      </c>
    </row>
    <row r="17" spans="2:23">
      <c r="B17" s="3" t="s">
        <v>44</v>
      </c>
      <c r="C17" s="6" t="s">
        <v>45</v>
      </c>
      <c r="D17" s="3">
        <v>833.43</v>
      </c>
      <c r="E17" s="3">
        <v>1549.77</v>
      </c>
      <c r="F17" s="3">
        <v>839.7</v>
      </c>
      <c r="G17" s="3">
        <v>3.13</v>
      </c>
      <c r="H17" s="3">
        <v>833.4</v>
      </c>
      <c r="I17" s="3">
        <v>1005.19</v>
      </c>
      <c r="J17" s="7">
        <v>854.09974399999999</v>
      </c>
      <c r="K17" s="7">
        <v>867.31200999999999</v>
      </c>
      <c r="L17" s="8">
        <v>9.1525560000000006</v>
      </c>
      <c r="M17" s="3">
        <v>863.25</v>
      </c>
      <c r="N17" s="3">
        <v>867.92</v>
      </c>
      <c r="O17" s="3">
        <v>14.82</v>
      </c>
      <c r="P17" s="3">
        <v>858.02</v>
      </c>
      <c r="Q17" s="3">
        <v>861.87</v>
      </c>
      <c r="R17" s="3">
        <v>15.1</v>
      </c>
      <c r="S17" s="3">
        <v>2.87</v>
      </c>
      <c r="T17" s="9">
        <f>(P17-F17)/P17</f>
        <v>2.1351483648399731E-2</v>
      </c>
      <c r="U17" s="9">
        <f>(P17-H17)/P17</f>
        <v>2.8693969837532932E-2</v>
      </c>
      <c r="V17" s="9">
        <f t="shared" si="0"/>
        <v>3.2998015942079496E-2</v>
      </c>
      <c r="W17" s="9">
        <f t="shared" si="3"/>
        <v>4.5689564345819389E-3</v>
      </c>
    </row>
    <row r="18" spans="2:23">
      <c r="B18" s="2" t="s">
        <v>12</v>
      </c>
      <c r="C18" s="2"/>
      <c r="D18" s="21">
        <f>AVERAGE(D5:D17)</f>
        <v>868.69692307692299</v>
      </c>
      <c r="E18" s="21">
        <f t="shared" ref="E18:F18" si="4">AVERAGE(E5:E17)</f>
        <v>692.33076923076919</v>
      </c>
      <c r="F18" s="21">
        <f t="shared" si="4"/>
        <v>840.41000000000008</v>
      </c>
      <c r="G18" s="21"/>
      <c r="H18" s="21">
        <f t="shared" ref="H18:L18" si="5">AVERAGE(H5:H17)</f>
        <v>835.89400000000001</v>
      </c>
      <c r="I18" s="21">
        <f t="shared" si="5"/>
        <v>283.30600000000004</v>
      </c>
      <c r="J18" s="21">
        <f>AVERAGE(J5:J17)</f>
        <v>877.86269515384606</v>
      </c>
      <c r="K18" s="21">
        <f t="shared" si="5"/>
        <v>884.29495507692309</v>
      </c>
      <c r="L18" s="21">
        <f t="shared" si="5"/>
        <v>2.9368842307692309</v>
      </c>
      <c r="M18" s="21">
        <f>AVERAGE(M5:M17)</f>
        <v>874.05230769230775</v>
      </c>
      <c r="N18" s="21">
        <f t="shared" ref="N18:R18" si="6">AVERAGE(N5:N17)</f>
        <v>876.18615384615384</v>
      </c>
      <c r="O18" s="21">
        <f t="shared" si="6"/>
        <v>5.4099999999999984</v>
      </c>
      <c r="P18" s="21">
        <f>AVERAGE(P5:P17)</f>
        <v>873.03461538461545</v>
      </c>
      <c r="Q18" s="21">
        <f t="shared" si="6"/>
        <v>874.80076923076933</v>
      </c>
      <c r="R18" s="21">
        <f t="shared" si="6"/>
        <v>5.5176923076923066</v>
      </c>
      <c r="S18" s="19">
        <f>AVERAGE(S5:S17)</f>
        <v>0.44615384615384612</v>
      </c>
      <c r="T18" s="20">
        <f t="shared" ref="T18:W18" si="7">AVERAGE(T5:T17)</f>
        <v>-3.1603984913874243E-3</v>
      </c>
      <c r="U18" s="20">
        <f t="shared" si="7"/>
        <v>4.2893736673339563E-3</v>
      </c>
      <c r="V18" s="20">
        <f t="shared" si="7"/>
        <v>6.5336545407552694E-3</v>
      </c>
      <c r="W18" s="20">
        <f t="shared" si="7"/>
        <v>-6.9539441645742476E-3</v>
      </c>
    </row>
    <row r="19" spans="2:23">
      <c r="B19" s="3"/>
      <c r="C19" s="3"/>
      <c r="D19" s="3"/>
      <c r="E19" s="3"/>
      <c r="F19" s="3"/>
      <c r="G19" s="3"/>
      <c r="H19" s="3"/>
      <c r="I19" s="3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>
      <c r="B20" s="3"/>
      <c r="C20" s="3"/>
      <c r="D20" s="3"/>
      <c r="E20" s="3"/>
      <c r="F20" s="3"/>
      <c r="G20" s="3"/>
      <c r="H20" s="3"/>
      <c r="I20" s="3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2:23">
      <c r="B21" s="1"/>
      <c r="C21" s="1"/>
      <c r="D21" s="24" t="s">
        <v>111</v>
      </c>
      <c r="E21" s="24"/>
      <c r="F21" s="25" t="s">
        <v>0</v>
      </c>
      <c r="G21" s="25"/>
      <c r="H21" s="25" t="s">
        <v>1</v>
      </c>
      <c r="I21" s="25"/>
      <c r="J21" s="25" t="s">
        <v>2</v>
      </c>
      <c r="K21" s="25"/>
      <c r="L21" s="25"/>
      <c r="M21" s="25" t="s">
        <v>3</v>
      </c>
      <c r="N21" s="25"/>
      <c r="O21" s="25"/>
      <c r="P21" s="25" t="s">
        <v>4</v>
      </c>
      <c r="Q21" s="25"/>
      <c r="R21" s="25"/>
      <c r="S21" s="25"/>
      <c r="T21" s="25"/>
      <c r="U21" s="25"/>
      <c r="V21" s="25"/>
      <c r="W21" s="25"/>
    </row>
    <row r="22" spans="2:23">
      <c r="B22" s="2" t="s">
        <v>5</v>
      </c>
      <c r="C22" s="2" t="s">
        <v>6</v>
      </c>
      <c r="D22" s="2" t="s">
        <v>7</v>
      </c>
      <c r="E22" s="2" t="s">
        <v>8</v>
      </c>
      <c r="F22" s="4" t="s">
        <v>9</v>
      </c>
      <c r="G22" s="4" t="s">
        <v>10</v>
      </c>
      <c r="H22" s="4" t="s">
        <v>9</v>
      </c>
      <c r="I22" s="4" t="s">
        <v>10</v>
      </c>
      <c r="J22" s="5" t="s">
        <v>11</v>
      </c>
      <c r="K22" s="5" t="s">
        <v>12</v>
      </c>
      <c r="L22" s="4" t="s">
        <v>13</v>
      </c>
      <c r="M22" s="4" t="s">
        <v>11</v>
      </c>
      <c r="N22" s="4" t="s">
        <v>14</v>
      </c>
      <c r="O22" s="4" t="s">
        <v>13</v>
      </c>
      <c r="P22" s="4" t="s">
        <v>9</v>
      </c>
      <c r="Q22" s="4" t="s">
        <v>15</v>
      </c>
      <c r="R22" s="4" t="s">
        <v>13</v>
      </c>
      <c r="S22" s="2" t="s">
        <v>16</v>
      </c>
      <c r="T22" s="2" t="s">
        <v>17</v>
      </c>
      <c r="U22" s="2" t="s">
        <v>18</v>
      </c>
      <c r="V22" s="4" t="s">
        <v>19</v>
      </c>
      <c r="W22" s="4" t="s">
        <v>20</v>
      </c>
    </row>
    <row r="23" spans="2:23">
      <c r="B23" s="6" t="s">
        <v>46</v>
      </c>
      <c r="C23" s="6" t="s">
        <v>47</v>
      </c>
      <c r="D23" s="6">
        <v>54793</v>
      </c>
      <c r="E23" s="6">
        <v>0.6</v>
      </c>
      <c r="F23" s="26" t="s">
        <v>113</v>
      </c>
      <c r="G23" s="26"/>
      <c r="H23" s="6">
        <v>54793</v>
      </c>
      <c r="I23" s="6">
        <v>3.3</v>
      </c>
      <c r="J23" s="12">
        <v>54793</v>
      </c>
      <c r="K23" s="13">
        <v>55080.6</v>
      </c>
      <c r="L23" s="8">
        <v>0.98606400000000005</v>
      </c>
      <c r="M23" s="6">
        <v>54793</v>
      </c>
      <c r="N23" s="6">
        <v>54977</v>
      </c>
      <c r="O23" s="6">
        <v>0.91</v>
      </c>
      <c r="P23" s="6">
        <v>54793</v>
      </c>
      <c r="Q23" s="6">
        <v>54935</v>
      </c>
      <c r="R23" s="6">
        <v>0.82</v>
      </c>
      <c r="S23" s="6">
        <v>0</v>
      </c>
      <c r="T23" s="9"/>
      <c r="U23" s="9">
        <v>0</v>
      </c>
      <c r="V23" s="9">
        <f t="shared" ref="V23:V52" si="8">(Q23-D23)/Q23</f>
        <v>2.5848730317648131E-3</v>
      </c>
      <c r="W23" s="9">
        <f>(P23-J23)/P23</f>
        <v>0</v>
      </c>
    </row>
    <row r="24" spans="2:23">
      <c r="B24" s="6" t="s">
        <v>48</v>
      </c>
      <c r="C24" s="6" t="s">
        <v>47</v>
      </c>
      <c r="D24" s="6">
        <v>39014</v>
      </c>
      <c r="E24" s="6">
        <v>0.03</v>
      </c>
      <c r="F24" s="27"/>
      <c r="G24" s="27"/>
      <c r="H24" s="6">
        <v>39104</v>
      </c>
      <c r="I24" s="6">
        <v>2.56</v>
      </c>
      <c r="J24" s="12">
        <v>39104</v>
      </c>
      <c r="K24" s="13">
        <v>39104</v>
      </c>
      <c r="L24" s="8">
        <v>0.96110099999999998</v>
      </c>
      <c r="M24" s="6">
        <v>39104</v>
      </c>
      <c r="N24" s="6">
        <v>39292</v>
      </c>
      <c r="O24" s="6">
        <v>1.23</v>
      </c>
      <c r="P24" s="6">
        <v>39104</v>
      </c>
      <c r="Q24" s="6">
        <v>39281</v>
      </c>
      <c r="R24" s="6">
        <v>1.1200000000000001</v>
      </c>
      <c r="S24" s="6">
        <v>0</v>
      </c>
      <c r="T24" s="9"/>
      <c r="U24" s="9">
        <v>0</v>
      </c>
      <c r="V24" s="9">
        <f t="shared" si="8"/>
        <v>6.7971792978793822E-3</v>
      </c>
      <c r="W24" s="9">
        <f t="shared" ref="W24:W53" si="9">(P24-J24)/J24</f>
        <v>0</v>
      </c>
    </row>
    <row r="25" spans="2:23">
      <c r="B25" s="6" t="s">
        <v>49</v>
      </c>
      <c r="C25" s="6" t="s">
        <v>47</v>
      </c>
      <c r="D25" s="6">
        <v>48908</v>
      </c>
      <c r="E25" s="6">
        <v>0.56000000000000005</v>
      </c>
      <c r="F25" s="27"/>
      <c r="G25" s="27"/>
      <c r="H25" s="6">
        <v>48908</v>
      </c>
      <c r="I25" s="6">
        <v>6.4</v>
      </c>
      <c r="J25" s="12">
        <v>48908</v>
      </c>
      <c r="K25" s="13">
        <v>48930.2</v>
      </c>
      <c r="L25" s="8">
        <v>1.2125140000000001</v>
      </c>
      <c r="M25" s="6">
        <v>48908</v>
      </c>
      <c r="N25" s="6">
        <v>48922</v>
      </c>
      <c r="O25" s="6">
        <v>1.08</v>
      </c>
      <c r="P25" s="6">
        <v>48908</v>
      </c>
      <c r="Q25" s="6">
        <v>48908</v>
      </c>
      <c r="R25" s="6">
        <v>1.21</v>
      </c>
      <c r="S25" s="6">
        <v>0</v>
      </c>
      <c r="T25" s="9"/>
      <c r="U25" s="9">
        <v>0</v>
      </c>
      <c r="V25" s="9">
        <f t="shared" si="8"/>
        <v>0</v>
      </c>
      <c r="W25" s="9">
        <f t="shared" si="9"/>
        <v>0</v>
      </c>
    </row>
    <row r="26" spans="2:23">
      <c r="B26" s="6" t="s">
        <v>50</v>
      </c>
      <c r="C26" s="6" t="s">
        <v>47</v>
      </c>
      <c r="D26" s="6">
        <v>37542</v>
      </c>
      <c r="E26" s="6">
        <v>0.02</v>
      </c>
      <c r="F26" s="27"/>
      <c r="G26" s="27"/>
      <c r="H26" s="6">
        <v>37542</v>
      </c>
      <c r="I26" s="6">
        <v>7.75</v>
      </c>
      <c r="J26" s="6">
        <v>37542</v>
      </c>
      <c r="K26" s="13">
        <v>38201.800000000003</v>
      </c>
      <c r="L26" s="8">
        <v>1.3357509999999999</v>
      </c>
      <c r="M26" s="6">
        <v>37542</v>
      </c>
      <c r="N26" s="6">
        <v>37542</v>
      </c>
      <c r="O26" s="6">
        <v>1.77</v>
      </c>
      <c r="P26" s="6">
        <v>37542</v>
      </c>
      <c r="Q26" s="6">
        <v>37542</v>
      </c>
      <c r="R26" s="6">
        <v>1.46</v>
      </c>
      <c r="S26" s="6">
        <v>0</v>
      </c>
      <c r="T26" s="9"/>
      <c r="U26" s="9">
        <v>0</v>
      </c>
      <c r="V26" s="9">
        <f t="shared" si="8"/>
        <v>0</v>
      </c>
      <c r="W26" s="9">
        <f t="shared" si="9"/>
        <v>0</v>
      </c>
    </row>
    <row r="27" spans="2:23">
      <c r="B27" s="6" t="s">
        <v>51</v>
      </c>
      <c r="C27" s="6" t="s">
        <v>37</v>
      </c>
      <c r="D27" s="6">
        <v>90111</v>
      </c>
      <c r="E27" s="6">
        <v>17.079999999999998</v>
      </c>
      <c r="F27" s="27"/>
      <c r="G27" s="27"/>
      <c r="H27" s="6">
        <v>90111</v>
      </c>
      <c r="I27" s="6">
        <v>19.920000000000002</v>
      </c>
      <c r="J27" s="12">
        <v>91530</v>
      </c>
      <c r="K27" s="13">
        <v>99089.4</v>
      </c>
      <c r="L27" s="8">
        <v>4.2734829999999997</v>
      </c>
      <c r="M27" s="6">
        <v>90111</v>
      </c>
      <c r="N27" s="6">
        <v>90389</v>
      </c>
      <c r="O27" s="6">
        <v>3.33</v>
      </c>
      <c r="P27" s="6">
        <v>90111</v>
      </c>
      <c r="Q27" s="6">
        <v>90396</v>
      </c>
      <c r="R27" s="6">
        <v>3.81</v>
      </c>
      <c r="S27" s="6">
        <v>0</v>
      </c>
      <c r="T27" s="9"/>
      <c r="U27" s="9">
        <v>0</v>
      </c>
      <c r="V27" s="9">
        <f t="shared" si="8"/>
        <v>3.1527943714323645E-3</v>
      </c>
      <c r="W27" s="9">
        <f t="shared" si="9"/>
        <v>-1.5503113733202229E-2</v>
      </c>
    </row>
    <row r="28" spans="2:23">
      <c r="B28" s="6" t="s">
        <v>52</v>
      </c>
      <c r="C28" s="6" t="s">
        <v>53</v>
      </c>
      <c r="D28" s="6">
        <v>63242</v>
      </c>
      <c r="E28" s="6">
        <v>478.03</v>
      </c>
      <c r="F28" s="27"/>
      <c r="G28" s="27"/>
      <c r="H28" s="6">
        <v>63242</v>
      </c>
      <c r="I28" s="6">
        <v>15.83</v>
      </c>
      <c r="J28" s="12">
        <v>70256</v>
      </c>
      <c r="K28" s="13">
        <v>73266</v>
      </c>
      <c r="L28" s="8">
        <v>2.4306770000000002</v>
      </c>
      <c r="M28" s="6">
        <v>64593</v>
      </c>
      <c r="N28" s="6">
        <v>64593</v>
      </c>
      <c r="O28" s="6">
        <v>4.01</v>
      </c>
      <c r="P28" s="6">
        <v>63781</v>
      </c>
      <c r="Q28" s="6">
        <v>64321</v>
      </c>
      <c r="R28" s="6">
        <v>4.29</v>
      </c>
      <c r="S28" s="6">
        <v>0.85</v>
      </c>
      <c r="T28" s="9"/>
      <c r="U28" s="9">
        <v>8.4507925557767982E-3</v>
      </c>
      <c r="V28" s="9">
        <f t="shared" si="8"/>
        <v>1.6775236703409462E-2</v>
      </c>
      <c r="W28" s="9">
        <f>(P28-J28)/J28</f>
        <v>-9.2162946936916415E-2</v>
      </c>
    </row>
    <row r="29" spans="2:23">
      <c r="B29" s="6" t="s">
        <v>54</v>
      </c>
      <c r="C29" s="6" t="s">
        <v>37</v>
      </c>
      <c r="D29" s="6">
        <v>88298</v>
      </c>
      <c r="E29" s="6">
        <v>13.49</v>
      </c>
      <c r="F29" s="27"/>
      <c r="G29" s="27"/>
      <c r="H29" s="6">
        <v>88298</v>
      </c>
      <c r="I29" s="6">
        <v>16.95</v>
      </c>
      <c r="J29" s="12">
        <v>88833</v>
      </c>
      <c r="K29" s="13">
        <v>94845.8</v>
      </c>
      <c r="L29" s="8">
        <v>3.2657880000000001</v>
      </c>
      <c r="M29" s="6">
        <v>90280</v>
      </c>
      <c r="N29" s="6">
        <v>90299</v>
      </c>
      <c r="O29" s="6">
        <v>4.99</v>
      </c>
      <c r="P29" s="6">
        <v>89012</v>
      </c>
      <c r="Q29" s="6">
        <v>89241</v>
      </c>
      <c r="R29" s="6">
        <v>5.0199999999999996</v>
      </c>
      <c r="S29" s="6">
        <v>0.8</v>
      </c>
      <c r="T29" s="9"/>
      <c r="U29" s="9">
        <v>8.0213903743315516E-3</v>
      </c>
      <c r="V29" s="9">
        <f t="shared" si="8"/>
        <v>1.0566891899463251E-2</v>
      </c>
      <c r="W29" s="9">
        <f t="shared" si="9"/>
        <v>2.0150169419022208E-3</v>
      </c>
    </row>
    <row r="30" spans="2:23">
      <c r="B30" s="6" t="s">
        <v>55</v>
      </c>
      <c r="C30" s="6" t="s">
        <v>37</v>
      </c>
      <c r="D30" s="6">
        <v>67340</v>
      </c>
      <c r="E30" s="6">
        <v>444.33</v>
      </c>
      <c r="F30" s="27"/>
      <c r="G30" s="27"/>
      <c r="H30" s="6">
        <v>67308</v>
      </c>
      <c r="I30" s="6">
        <v>30.01</v>
      </c>
      <c r="J30" s="12">
        <v>69215</v>
      </c>
      <c r="K30" s="13">
        <v>71870.399999999994</v>
      </c>
      <c r="L30" s="8">
        <v>4.2763299999999997</v>
      </c>
      <c r="M30" s="6">
        <v>68281</v>
      </c>
      <c r="N30" s="6">
        <v>68301</v>
      </c>
      <c r="O30" s="6">
        <v>4.32</v>
      </c>
      <c r="P30" s="6">
        <v>67698</v>
      </c>
      <c r="Q30" s="6">
        <v>68221</v>
      </c>
      <c r="R30" s="6">
        <v>4.76</v>
      </c>
      <c r="S30" s="6">
        <v>0.53</v>
      </c>
      <c r="T30" s="9"/>
      <c r="U30" s="9">
        <v>5.7608791987946465E-3</v>
      </c>
      <c r="V30" s="9">
        <f t="shared" si="8"/>
        <v>1.2913912138491081E-2</v>
      </c>
      <c r="W30" s="9">
        <f t="shared" si="9"/>
        <v>-2.1917214476630788E-2</v>
      </c>
    </row>
    <row r="31" spans="2:23">
      <c r="B31" s="6" t="s">
        <v>56</v>
      </c>
      <c r="C31" s="6" t="s">
        <v>37</v>
      </c>
      <c r="D31" s="6">
        <v>84055</v>
      </c>
      <c r="E31" s="6">
        <v>29.53</v>
      </c>
      <c r="F31" s="27"/>
      <c r="G31" s="27"/>
      <c r="H31" s="6">
        <v>84055</v>
      </c>
      <c r="I31" s="6">
        <v>9.68</v>
      </c>
      <c r="J31" s="14">
        <v>84891</v>
      </c>
      <c r="K31" s="15">
        <v>87461.2</v>
      </c>
      <c r="L31" s="8">
        <v>5.3033900000000003</v>
      </c>
      <c r="M31" s="6">
        <v>84976</v>
      </c>
      <c r="N31" s="6">
        <v>84981</v>
      </c>
      <c r="O31" s="6">
        <v>6.72</v>
      </c>
      <c r="P31" s="6">
        <v>84055</v>
      </c>
      <c r="Q31" s="6">
        <v>85977</v>
      </c>
      <c r="R31" s="6">
        <v>7.12</v>
      </c>
      <c r="S31" s="6">
        <v>0</v>
      </c>
      <c r="T31" s="9"/>
      <c r="U31" s="9">
        <v>0</v>
      </c>
      <c r="V31" s="9">
        <f t="shared" si="8"/>
        <v>2.2354815822836341E-2</v>
      </c>
      <c r="W31" s="9">
        <f t="shared" si="9"/>
        <v>-9.8479226301963693E-3</v>
      </c>
    </row>
    <row r="32" spans="2:23">
      <c r="B32" s="6" t="s">
        <v>57</v>
      </c>
      <c r="C32" s="6" t="s">
        <v>37</v>
      </c>
      <c r="D32" s="6">
        <v>51822</v>
      </c>
      <c r="E32" s="6">
        <v>7.25</v>
      </c>
      <c r="F32" s="27"/>
      <c r="G32" s="27"/>
      <c r="H32" s="6">
        <v>51822</v>
      </c>
      <c r="I32" s="6">
        <v>12.38</v>
      </c>
      <c r="J32" s="12">
        <v>52059</v>
      </c>
      <c r="K32" s="13">
        <v>57896.800000000003</v>
      </c>
      <c r="L32" s="8">
        <v>4.3447440000000004</v>
      </c>
      <c r="M32" s="6">
        <v>53346</v>
      </c>
      <c r="N32" s="6">
        <v>53387</v>
      </c>
      <c r="O32" s="6">
        <v>5.05</v>
      </c>
      <c r="P32" s="6">
        <v>52912</v>
      </c>
      <c r="Q32" s="6">
        <v>53993</v>
      </c>
      <c r="R32" s="6">
        <v>6.02</v>
      </c>
      <c r="S32" s="6">
        <v>2.06</v>
      </c>
      <c r="T32" s="9"/>
      <c r="U32" s="9">
        <v>2.0600241911097671E-2</v>
      </c>
      <c r="V32" s="9">
        <f t="shared" si="8"/>
        <v>4.0208915970588781E-2</v>
      </c>
      <c r="W32" s="9">
        <f t="shared" si="9"/>
        <v>1.6385255191225339E-2</v>
      </c>
    </row>
    <row r="33" spans="2:23">
      <c r="B33" s="6" t="s">
        <v>58</v>
      </c>
      <c r="C33" s="6" t="s">
        <v>37</v>
      </c>
      <c r="D33" s="6">
        <v>86023</v>
      </c>
      <c r="E33" s="6">
        <v>94.24</v>
      </c>
      <c r="F33" s="27"/>
      <c r="G33" s="27"/>
      <c r="H33" s="6">
        <v>86203</v>
      </c>
      <c r="I33" s="6">
        <v>15.46</v>
      </c>
      <c r="J33" s="12">
        <v>88879</v>
      </c>
      <c r="K33" s="13">
        <v>93058.6</v>
      </c>
      <c r="L33" s="8">
        <v>4.2328650000000003</v>
      </c>
      <c r="M33" s="6">
        <v>88327</v>
      </c>
      <c r="N33" s="6">
        <v>88392</v>
      </c>
      <c r="O33" s="6">
        <v>5.66</v>
      </c>
      <c r="P33" s="6">
        <v>87380</v>
      </c>
      <c r="Q33" s="6">
        <v>88251</v>
      </c>
      <c r="R33" s="6">
        <v>5.37</v>
      </c>
      <c r="S33" s="6">
        <v>1.55</v>
      </c>
      <c r="T33" s="9"/>
      <c r="U33" s="9">
        <v>1.3469901579308767E-2</v>
      </c>
      <c r="V33" s="9">
        <f t="shared" si="8"/>
        <v>2.5246172847899741E-2</v>
      </c>
      <c r="W33" s="9">
        <f t="shared" si="9"/>
        <v>-1.6865626300925977E-2</v>
      </c>
    </row>
    <row r="34" spans="2:23">
      <c r="B34" s="6" t="s">
        <v>59</v>
      </c>
      <c r="C34" s="6" t="s">
        <v>37</v>
      </c>
      <c r="D34" s="6">
        <v>61830</v>
      </c>
      <c r="E34" s="6">
        <v>86.73</v>
      </c>
      <c r="F34" s="27"/>
      <c r="G34" s="27"/>
      <c r="H34" s="6">
        <v>61830</v>
      </c>
      <c r="I34" s="6">
        <v>15.65</v>
      </c>
      <c r="J34" s="14">
        <v>62635</v>
      </c>
      <c r="K34" s="15">
        <v>63693.4</v>
      </c>
      <c r="L34" s="8">
        <v>7.3762650000000001</v>
      </c>
      <c r="M34" s="6">
        <v>62406</v>
      </c>
      <c r="N34" s="6">
        <v>62491</v>
      </c>
      <c r="O34" s="6">
        <v>8.89</v>
      </c>
      <c r="P34" s="6">
        <v>61830</v>
      </c>
      <c r="Q34" s="6">
        <v>62488</v>
      </c>
      <c r="R34" s="6">
        <v>9.92</v>
      </c>
      <c r="S34" s="6">
        <v>0</v>
      </c>
      <c r="T34" s="9"/>
      <c r="U34" s="9">
        <v>0</v>
      </c>
      <c r="V34" s="9">
        <f t="shared" si="8"/>
        <v>1.0530021764178723E-2</v>
      </c>
      <c r="W34" s="9">
        <f t="shared" si="9"/>
        <v>-1.2852239163407041E-2</v>
      </c>
    </row>
    <row r="35" spans="2:23">
      <c r="B35" s="6" t="s">
        <v>60</v>
      </c>
      <c r="C35" s="6" t="s">
        <v>61</v>
      </c>
      <c r="D35" s="6">
        <v>274814</v>
      </c>
      <c r="E35" s="6">
        <v>446.13</v>
      </c>
      <c r="F35" s="27"/>
      <c r="G35" s="27"/>
      <c r="H35" s="6">
        <v>275079</v>
      </c>
      <c r="I35" s="6">
        <v>955.11</v>
      </c>
      <c r="J35" s="12">
        <v>287081</v>
      </c>
      <c r="K35" s="13">
        <v>294351.2</v>
      </c>
      <c r="L35" s="8">
        <v>4.0172869999999996</v>
      </c>
      <c r="M35" s="6">
        <v>283035</v>
      </c>
      <c r="N35" s="6">
        <v>283498</v>
      </c>
      <c r="O35" s="6">
        <v>7.61</v>
      </c>
      <c r="P35" s="6">
        <v>282911</v>
      </c>
      <c r="Q35" s="6">
        <v>283212</v>
      </c>
      <c r="R35" s="6">
        <v>8.73</v>
      </c>
      <c r="S35" s="6">
        <v>2.86</v>
      </c>
      <c r="T35" s="9"/>
      <c r="U35" s="9">
        <v>2.7683617816203682E-2</v>
      </c>
      <c r="V35" s="9">
        <f t="shared" si="8"/>
        <v>2.9652698331991582E-2</v>
      </c>
      <c r="W35" s="9">
        <f t="shared" si="9"/>
        <v>-1.4525517188528674E-2</v>
      </c>
    </row>
    <row r="36" spans="2:23">
      <c r="B36" s="6" t="s">
        <v>62</v>
      </c>
      <c r="C36" s="6" t="s">
        <v>61</v>
      </c>
      <c r="D36" s="6">
        <v>214392</v>
      </c>
      <c r="E36" s="6">
        <v>47846.2</v>
      </c>
      <c r="F36" s="27"/>
      <c r="G36" s="27"/>
      <c r="H36" s="6">
        <v>213568</v>
      </c>
      <c r="I36" s="6">
        <v>1050.6600000000001</v>
      </c>
      <c r="J36" s="12">
        <v>220460</v>
      </c>
      <c r="K36" s="13">
        <v>226092.79999999999</v>
      </c>
      <c r="L36" s="8">
        <v>6.0255000000000001</v>
      </c>
      <c r="M36" s="6">
        <v>220262</v>
      </c>
      <c r="N36" s="6">
        <v>220281</v>
      </c>
      <c r="O36" s="6">
        <v>5.98</v>
      </c>
      <c r="P36" s="6">
        <v>218762</v>
      </c>
      <c r="Q36" s="6">
        <v>220281</v>
      </c>
      <c r="R36" s="6">
        <v>7.41</v>
      </c>
      <c r="S36" s="6">
        <v>2</v>
      </c>
      <c r="T36" s="9"/>
      <c r="U36" s="9">
        <v>2.3742697543449046E-2</v>
      </c>
      <c r="V36" s="9">
        <f t="shared" si="8"/>
        <v>2.6734035164176665E-2</v>
      </c>
      <c r="W36" s="9">
        <f t="shared" si="9"/>
        <v>-7.7020774743717683E-3</v>
      </c>
    </row>
    <row r="37" spans="2:23">
      <c r="B37" s="6" t="s">
        <v>63</v>
      </c>
      <c r="C37" s="6" t="s">
        <v>61</v>
      </c>
      <c r="D37" s="6">
        <v>193671</v>
      </c>
      <c r="E37" s="6">
        <v>56.53</v>
      </c>
      <c r="F37" s="27"/>
      <c r="G37" s="27"/>
      <c r="H37" s="6">
        <v>193671</v>
      </c>
      <c r="I37" s="6">
        <v>117.49</v>
      </c>
      <c r="J37" s="12">
        <v>198430</v>
      </c>
      <c r="K37" s="13">
        <v>203849.8</v>
      </c>
      <c r="L37" s="8">
        <v>7.0172160000000003</v>
      </c>
      <c r="M37" s="6">
        <v>203388</v>
      </c>
      <c r="N37" s="6">
        <v>203412</v>
      </c>
      <c r="O37" s="6">
        <v>9.91</v>
      </c>
      <c r="P37" s="6">
        <v>201387</v>
      </c>
      <c r="Q37" s="6">
        <v>202812</v>
      </c>
      <c r="R37" s="6">
        <v>9.01</v>
      </c>
      <c r="S37" s="6">
        <v>3.83</v>
      </c>
      <c r="T37" s="9"/>
      <c r="U37" s="9">
        <v>3.8314290396103026E-2</v>
      </c>
      <c r="V37" s="9">
        <f t="shared" si="8"/>
        <v>4.5071297556357609E-2</v>
      </c>
      <c r="W37" s="9">
        <f t="shared" si="9"/>
        <v>1.4901980547296276E-2</v>
      </c>
    </row>
    <row r="38" spans="2:23">
      <c r="B38" s="6" t="s">
        <v>64</v>
      </c>
      <c r="C38" s="6" t="s">
        <v>61</v>
      </c>
      <c r="D38" s="6">
        <v>157173</v>
      </c>
      <c r="E38" s="6">
        <v>12576.3</v>
      </c>
      <c r="F38" s="27"/>
      <c r="G38" s="27"/>
      <c r="H38" s="6">
        <v>157095</v>
      </c>
      <c r="I38" s="6">
        <v>506.15</v>
      </c>
      <c r="J38" s="12">
        <v>158496</v>
      </c>
      <c r="K38" s="13">
        <v>166552.79999999999</v>
      </c>
      <c r="L38" s="8">
        <v>6.0187790000000003</v>
      </c>
      <c r="M38" s="6">
        <v>161434</v>
      </c>
      <c r="N38" s="6">
        <v>161492</v>
      </c>
      <c r="O38" s="6">
        <v>8.41</v>
      </c>
      <c r="P38" s="6">
        <v>160182</v>
      </c>
      <c r="Q38" s="6">
        <v>162103</v>
      </c>
      <c r="R38" s="6">
        <v>8.4600000000000009</v>
      </c>
      <c r="S38" s="6">
        <v>1.88</v>
      </c>
      <c r="T38" s="9"/>
      <c r="U38" s="9">
        <v>1.927182829531408E-2</v>
      </c>
      <c r="V38" s="9">
        <f t="shared" si="8"/>
        <v>3.0412762256096432E-2</v>
      </c>
      <c r="W38" s="9">
        <f t="shared" si="9"/>
        <v>1.0637492428831011E-2</v>
      </c>
    </row>
    <row r="39" spans="2:23">
      <c r="B39" s="6" t="s">
        <v>65</v>
      </c>
      <c r="C39" s="6" t="s">
        <v>61</v>
      </c>
      <c r="D39" s="6">
        <v>200079</v>
      </c>
      <c r="E39" s="6">
        <v>123.74</v>
      </c>
      <c r="F39" s="27"/>
      <c r="G39" s="27"/>
      <c r="H39" s="6">
        <v>200079</v>
      </c>
      <c r="I39" s="6">
        <v>722.65</v>
      </c>
      <c r="J39" s="12">
        <v>203054</v>
      </c>
      <c r="K39" s="13">
        <v>214246.39999999999</v>
      </c>
      <c r="L39" s="8">
        <v>8.5778770000000009</v>
      </c>
      <c r="M39" s="6">
        <v>206659</v>
      </c>
      <c r="N39" s="6">
        <v>208789</v>
      </c>
      <c r="O39" s="6">
        <v>6.21</v>
      </c>
      <c r="P39" s="6">
        <v>204821</v>
      </c>
      <c r="Q39" s="6">
        <v>209763</v>
      </c>
      <c r="R39" s="6">
        <v>8.3000000000000007</v>
      </c>
      <c r="S39" s="6">
        <v>2.3199999999999998</v>
      </c>
      <c r="T39" s="9"/>
      <c r="U39" s="9">
        <v>2.3151922898530911E-2</v>
      </c>
      <c r="V39" s="9">
        <f t="shared" si="8"/>
        <v>4.616638778049513E-2</v>
      </c>
      <c r="W39" s="9">
        <f t="shared" si="9"/>
        <v>8.7021186482413547E-3</v>
      </c>
    </row>
    <row r="40" spans="2:23">
      <c r="B40" s="6" t="s">
        <v>66</v>
      </c>
      <c r="C40" s="6" t="s">
        <v>61</v>
      </c>
      <c r="D40" s="6">
        <v>152441</v>
      </c>
      <c r="E40" s="6">
        <v>469.89</v>
      </c>
      <c r="F40" s="27"/>
      <c r="G40" s="27"/>
      <c r="H40" s="6">
        <v>152441</v>
      </c>
      <c r="I40" s="6">
        <v>180.75</v>
      </c>
      <c r="J40" s="12">
        <v>154475</v>
      </c>
      <c r="K40" s="13">
        <v>167499.6</v>
      </c>
      <c r="L40" s="8">
        <v>7.8429880000000001</v>
      </c>
      <c r="M40" s="6">
        <v>154865</v>
      </c>
      <c r="N40" s="6">
        <v>155982</v>
      </c>
      <c r="O40" s="6">
        <v>9.01</v>
      </c>
      <c r="P40" s="6">
        <v>153322</v>
      </c>
      <c r="Q40" s="6">
        <v>155811</v>
      </c>
      <c r="R40" s="6">
        <v>9.36</v>
      </c>
      <c r="S40" s="6">
        <v>0.56999999999999995</v>
      </c>
      <c r="T40" s="9"/>
      <c r="U40" s="9">
        <v>5.7460768839435955E-3</v>
      </c>
      <c r="V40" s="9">
        <f t="shared" si="8"/>
        <v>2.1628768187098472E-2</v>
      </c>
      <c r="W40" s="9">
        <f t="shared" si="9"/>
        <v>-7.4639909370448291E-3</v>
      </c>
    </row>
    <row r="41" spans="2:23">
      <c r="B41" s="6" t="s">
        <v>67</v>
      </c>
      <c r="C41" s="6" t="s">
        <v>45</v>
      </c>
      <c r="D41" s="6">
        <v>289017</v>
      </c>
      <c r="E41" s="6">
        <v>46434.6</v>
      </c>
      <c r="F41" s="27"/>
      <c r="G41" s="27"/>
      <c r="H41" s="6">
        <v>287723</v>
      </c>
      <c r="I41" s="6">
        <v>1307.08</v>
      </c>
      <c r="J41" s="12">
        <v>303696</v>
      </c>
      <c r="K41" s="13">
        <v>329140.2</v>
      </c>
      <c r="L41" s="8">
        <v>6.5861299999999998</v>
      </c>
      <c r="M41" s="6">
        <v>300260</v>
      </c>
      <c r="N41" s="6">
        <v>300351</v>
      </c>
      <c r="O41" s="6">
        <v>7.79</v>
      </c>
      <c r="P41" s="6">
        <v>296575</v>
      </c>
      <c r="Q41" s="6">
        <v>297611</v>
      </c>
      <c r="R41" s="6">
        <v>7.93</v>
      </c>
      <c r="S41" s="6">
        <v>2.5499999999999998</v>
      </c>
      <c r="T41" s="9"/>
      <c r="U41" s="9">
        <v>2.9847424766079406E-2</v>
      </c>
      <c r="V41" s="9">
        <f t="shared" si="8"/>
        <v>2.8876620823827075E-2</v>
      </c>
      <c r="W41" s="9">
        <f t="shared" si="9"/>
        <v>-2.3447789895158316E-2</v>
      </c>
    </row>
    <row r="42" spans="2:23">
      <c r="B42" s="6" t="s">
        <v>68</v>
      </c>
      <c r="C42" s="6" t="s">
        <v>45</v>
      </c>
      <c r="D42" s="6">
        <v>230989</v>
      </c>
      <c r="E42" s="6">
        <v>3760</v>
      </c>
      <c r="F42" s="27"/>
      <c r="G42" s="27"/>
      <c r="H42" s="6">
        <v>230989</v>
      </c>
      <c r="I42" s="6">
        <v>1377.41</v>
      </c>
      <c r="J42" s="12">
        <v>244874</v>
      </c>
      <c r="K42" s="13">
        <v>272383</v>
      </c>
      <c r="L42" s="8">
        <v>5.881386</v>
      </c>
      <c r="M42" s="6">
        <v>242023</v>
      </c>
      <c r="N42" s="6">
        <v>242581</v>
      </c>
      <c r="O42" s="6">
        <v>7.41</v>
      </c>
      <c r="P42" s="6">
        <v>238651</v>
      </c>
      <c r="Q42" s="6">
        <v>239201</v>
      </c>
      <c r="R42" s="6">
        <v>8.76</v>
      </c>
      <c r="S42" s="6">
        <v>3.21</v>
      </c>
      <c r="T42" s="9"/>
      <c r="U42" s="9">
        <v>3.2105459436583127E-2</v>
      </c>
      <c r="V42" s="9">
        <f t="shared" si="8"/>
        <v>3.433096015484885E-2</v>
      </c>
      <c r="W42" s="9">
        <f t="shared" si="9"/>
        <v>-2.5413069578640445E-2</v>
      </c>
    </row>
    <row r="43" spans="2:23">
      <c r="B43" s="6" t="s">
        <v>69</v>
      </c>
      <c r="C43" s="6" t="s">
        <v>45</v>
      </c>
      <c r="D43" s="6">
        <v>243590</v>
      </c>
      <c r="E43" s="6">
        <v>2252.91</v>
      </c>
      <c r="F43" s="27"/>
      <c r="G43" s="27"/>
      <c r="H43" s="6">
        <v>243590</v>
      </c>
      <c r="I43" s="6">
        <v>562.96</v>
      </c>
      <c r="J43" s="12">
        <v>253000</v>
      </c>
      <c r="K43" s="13">
        <v>274716.40000000002</v>
      </c>
      <c r="L43" s="8">
        <v>9.5830350000000006</v>
      </c>
      <c r="M43" s="6">
        <v>254672</v>
      </c>
      <c r="N43" s="6">
        <v>256091</v>
      </c>
      <c r="O43" s="6">
        <v>9.99</v>
      </c>
      <c r="P43" s="6">
        <v>251012</v>
      </c>
      <c r="Q43" s="6">
        <v>251918</v>
      </c>
      <c r="R43" s="6">
        <v>10.73</v>
      </c>
      <c r="S43" s="6">
        <v>2.96</v>
      </c>
      <c r="T43" s="9"/>
      <c r="U43" s="9">
        <v>2.9568307491275318E-2</v>
      </c>
      <c r="V43" s="9">
        <f t="shared" si="8"/>
        <v>3.3058376138267211E-2</v>
      </c>
      <c r="W43" s="9">
        <f t="shared" si="9"/>
        <v>-7.8577075098814238E-3</v>
      </c>
    </row>
    <row r="44" spans="2:23">
      <c r="B44" s="6" t="s">
        <v>70</v>
      </c>
      <c r="C44" s="6" t="s">
        <v>45</v>
      </c>
      <c r="D44" s="6">
        <v>203988</v>
      </c>
      <c r="E44" s="6">
        <v>324.72000000000003</v>
      </c>
      <c r="F44" s="27"/>
      <c r="G44" s="27"/>
      <c r="H44" s="6">
        <v>203988</v>
      </c>
      <c r="I44" s="6">
        <v>66.5</v>
      </c>
      <c r="J44" s="12">
        <v>215010</v>
      </c>
      <c r="K44" s="13">
        <v>226606</v>
      </c>
      <c r="L44" s="8">
        <v>6.8373819999999998</v>
      </c>
      <c r="M44" s="6">
        <v>209145</v>
      </c>
      <c r="N44" s="6">
        <v>209177</v>
      </c>
      <c r="O44" s="6">
        <v>10.210000000000001</v>
      </c>
      <c r="P44" s="6">
        <v>207011</v>
      </c>
      <c r="Q44" s="6">
        <v>208027</v>
      </c>
      <c r="R44" s="6">
        <v>9.92</v>
      </c>
      <c r="S44" s="6">
        <v>1.46</v>
      </c>
      <c r="T44" s="9"/>
      <c r="U44" s="9">
        <v>1.4603088724753757E-2</v>
      </c>
      <c r="V44" s="9">
        <f t="shared" si="8"/>
        <v>1.9415748917207862E-2</v>
      </c>
      <c r="W44" s="9">
        <f t="shared" si="9"/>
        <v>-3.7202920794381658E-2</v>
      </c>
    </row>
    <row r="45" spans="2:23">
      <c r="B45" s="6" t="s">
        <v>71</v>
      </c>
      <c r="C45" s="6" t="s">
        <v>45</v>
      </c>
      <c r="D45" s="6">
        <v>250882</v>
      </c>
      <c r="E45" s="6">
        <v>12656</v>
      </c>
      <c r="F45" s="27"/>
      <c r="G45" s="27"/>
      <c r="H45" s="6">
        <v>250882</v>
      </c>
      <c r="I45" s="6">
        <v>1238.02</v>
      </c>
      <c r="J45" s="12">
        <v>264689</v>
      </c>
      <c r="K45" s="13">
        <v>283442.8</v>
      </c>
      <c r="L45" s="8">
        <v>10.082737</v>
      </c>
      <c r="M45" s="6">
        <v>260480</v>
      </c>
      <c r="N45" s="6">
        <v>260658</v>
      </c>
      <c r="O45" s="6">
        <v>7.24</v>
      </c>
      <c r="P45" s="6">
        <v>257633</v>
      </c>
      <c r="Q45" s="6">
        <v>259857</v>
      </c>
      <c r="R45" s="6">
        <v>8.66</v>
      </c>
      <c r="S45" s="6">
        <v>2.62</v>
      </c>
      <c r="T45" s="9"/>
      <c r="U45" s="9">
        <v>2.620394126528822E-2</v>
      </c>
      <c r="V45" s="9">
        <f t="shared" si="8"/>
        <v>3.4538226793967453E-2</v>
      </c>
      <c r="W45" s="9">
        <f t="shared" si="9"/>
        <v>-2.6657700168877436E-2</v>
      </c>
    </row>
    <row r="46" spans="2:23">
      <c r="B46" s="6" t="s">
        <v>72</v>
      </c>
      <c r="C46" s="6" t="s">
        <v>45</v>
      </c>
      <c r="D46" s="6">
        <v>203114</v>
      </c>
      <c r="E46" s="6">
        <v>40740</v>
      </c>
      <c r="F46" s="27"/>
      <c r="G46" s="27"/>
      <c r="H46" s="6">
        <v>203114</v>
      </c>
      <c r="I46" s="6">
        <v>1304.8800000000001</v>
      </c>
      <c r="J46" s="12">
        <v>213190</v>
      </c>
      <c r="K46" s="13">
        <v>216063.6</v>
      </c>
      <c r="L46" s="8">
        <v>6.0671049999999997</v>
      </c>
      <c r="M46" s="6">
        <v>213094</v>
      </c>
      <c r="N46" s="6">
        <v>213632</v>
      </c>
      <c r="O46" s="6">
        <v>7.88</v>
      </c>
      <c r="P46" s="6">
        <v>210728</v>
      </c>
      <c r="Q46" s="6">
        <v>211235</v>
      </c>
      <c r="R46" s="6">
        <v>8.43</v>
      </c>
      <c r="S46" s="6">
        <v>3.61</v>
      </c>
      <c r="T46" s="9"/>
      <c r="U46" s="9">
        <v>3.6131885653543902E-2</v>
      </c>
      <c r="V46" s="9">
        <f t="shared" si="8"/>
        <v>3.8445333396454187E-2</v>
      </c>
      <c r="W46" s="9">
        <f t="shared" si="9"/>
        <v>-1.15483840705474E-2</v>
      </c>
    </row>
    <row r="47" spans="2:23">
      <c r="B47" s="6" t="s">
        <v>73</v>
      </c>
      <c r="C47" s="6" t="s">
        <v>74</v>
      </c>
      <c r="D47" s="6">
        <v>474702</v>
      </c>
      <c r="E47" s="6">
        <v>25298</v>
      </c>
      <c r="F47" s="27"/>
      <c r="G47" s="27"/>
      <c r="H47" s="6">
        <v>475165</v>
      </c>
      <c r="I47" s="6">
        <v>2148.4299999999998</v>
      </c>
      <c r="J47" s="12">
        <v>489181</v>
      </c>
      <c r="K47" s="13">
        <v>533995.80000000005</v>
      </c>
      <c r="L47" s="8">
        <v>11.089337</v>
      </c>
      <c r="M47" s="6">
        <v>485212</v>
      </c>
      <c r="N47" s="6">
        <v>486921</v>
      </c>
      <c r="O47" s="6">
        <v>18.079999999999998</v>
      </c>
      <c r="P47" s="6">
        <v>480259</v>
      </c>
      <c r="Q47" s="6">
        <v>486322</v>
      </c>
      <c r="R47" s="6">
        <v>15.82</v>
      </c>
      <c r="S47" s="6">
        <v>1.1599999999999999</v>
      </c>
      <c r="T47" s="9"/>
      <c r="U47" s="9">
        <v>1.0606776760039896E-2</v>
      </c>
      <c r="V47" s="9">
        <f t="shared" si="8"/>
        <v>2.3893634258783276E-2</v>
      </c>
      <c r="W47" s="9">
        <f t="shared" si="9"/>
        <v>-1.8238647862447641E-2</v>
      </c>
    </row>
    <row r="48" spans="2:23">
      <c r="B48" s="6" t="s">
        <v>75</v>
      </c>
      <c r="C48" s="6" t="s">
        <v>74</v>
      </c>
      <c r="D48" s="6">
        <v>375177</v>
      </c>
      <c r="E48" s="6">
        <v>120447</v>
      </c>
      <c r="F48" s="27"/>
      <c r="G48" s="27"/>
      <c r="H48" s="6">
        <v>375353</v>
      </c>
      <c r="I48" s="6">
        <v>2390.8000000000002</v>
      </c>
      <c r="J48" s="12">
        <v>388976</v>
      </c>
      <c r="K48" s="13">
        <v>427903.6</v>
      </c>
      <c r="L48" s="8">
        <v>12.090692000000001</v>
      </c>
      <c r="M48" s="6">
        <v>396476</v>
      </c>
      <c r="N48" s="6">
        <v>397028</v>
      </c>
      <c r="O48" s="6">
        <v>20.010000000000002</v>
      </c>
      <c r="P48" s="6">
        <v>391271</v>
      </c>
      <c r="Q48" s="6">
        <v>392121</v>
      </c>
      <c r="R48" s="6">
        <v>18.989999999999998</v>
      </c>
      <c r="S48" s="6">
        <v>4.1100000000000003</v>
      </c>
      <c r="T48" s="9"/>
      <c r="U48" s="9">
        <v>4.0682800411990669E-2</v>
      </c>
      <c r="V48" s="9">
        <f t="shared" si="8"/>
        <v>4.3211151659819293E-2</v>
      </c>
      <c r="W48" s="9">
        <f t="shared" si="9"/>
        <v>5.900106947472338E-3</v>
      </c>
    </row>
    <row r="49" spans="2:23">
      <c r="B49" s="6" t="s">
        <v>76</v>
      </c>
      <c r="C49" s="6" t="s">
        <v>74</v>
      </c>
      <c r="D49" s="6">
        <v>450468</v>
      </c>
      <c r="E49" s="6">
        <v>31241.200000000001</v>
      </c>
      <c r="F49" s="27"/>
      <c r="G49" s="27"/>
      <c r="H49" s="6">
        <v>448978</v>
      </c>
      <c r="I49" s="6">
        <v>2234.6999999999998</v>
      </c>
      <c r="J49" s="12">
        <v>494090</v>
      </c>
      <c r="K49" s="13">
        <v>552316.80000000005</v>
      </c>
      <c r="L49" s="8">
        <v>11.077565</v>
      </c>
      <c r="M49" s="6">
        <v>476050</v>
      </c>
      <c r="N49" s="6">
        <v>476129</v>
      </c>
      <c r="O49" s="6">
        <v>19.760000000000002</v>
      </c>
      <c r="P49" s="6">
        <v>471018</v>
      </c>
      <c r="Q49" s="6">
        <v>471928</v>
      </c>
      <c r="R49" s="6">
        <v>20.71</v>
      </c>
      <c r="S49" s="6">
        <v>4.3600000000000003</v>
      </c>
      <c r="T49" s="9"/>
      <c r="U49" s="9">
        <v>4.6792266962196773E-2</v>
      </c>
      <c r="V49" s="9">
        <f t="shared" si="8"/>
        <v>4.5473038260073567E-2</v>
      </c>
      <c r="W49" s="9">
        <f t="shared" si="9"/>
        <v>-4.6695946082697483E-2</v>
      </c>
    </row>
    <row r="50" spans="2:23">
      <c r="B50" s="6" t="s">
        <v>77</v>
      </c>
      <c r="C50" s="6" t="s">
        <v>74</v>
      </c>
      <c r="D50" s="6">
        <v>374435</v>
      </c>
      <c r="E50" s="6">
        <v>92495.6</v>
      </c>
      <c r="F50" s="27"/>
      <c r="G50" s="27"/>
      <c r="H50" s="6">
        <v>373696</v>
      </c>
      <c r="I50" s="6">
        <v>2498.86</v>
      </c>
      <c r="J50" s="12">
        <v>395738</v>
      </c>
      <c r="K50" s="13">
        <v>471783.4</v>
      </c>
      <c r="L50" s="8">
        <v>13.064757</v>
      </c>
      <c r="M50" s="6">
        <v>385420</v>
      </c>
      <c r="N50" s="6">
        <v>386621</v>
      </c>
      <c r="O50" s="6">
        <v>17.27</v>
      </c>
      <c r="P50" s="6">
        <v>380621</v>
      </c>
      <c r="Q50" s="6">
        <v>389927</v>
      </c>
      <c r="R50" s="6">
        <v>19.350000000000001</v>
      </c>
      <c r="S50" s="6">
        <v>3.05</v>
      </c>
      <c r="T50" s="9"/>
      <c r="U50" s="9">
        <v>1.8193951463529336E-2</v>
      </c>
      <c r="V50" s="9">
        <f t="shared" si="8"/>
        <v>3.9730513660249225E-2</v>
      </c>
      <c r="W50" s="9">
        <f t="shared" si="9"/>
        <v>-3.8199515841288931E-2</v>
      </c>
    </row>
    <row r="51" spans="2:23">
      <c r="B51" s="6" t="s">
        <v>78</v>
      </c>
      <c r="C51" s="6" t="s">
        <v>74</v>
      </c>
      <c r="D51" s="6">
        <v>472898</v>
      </c>
      <c r="E51" s="6">
        <v>18738.8</v>
      </c>
      <c r="F51" s="27"/>
      <c r="G51" s="27"/>
      <c r="H51" s="6">
        <v>469433</v>
      </c>
      <c r="I51" s="6">
        <v>2308.35</v>
      </c>
      <c r="J51" s="12">
        <v>495848</v>
      </c>
      <c r="K51" s="13">
        <v>532274.6</v>
      </c>
      <c r="L51" s="8">
        <v>11.062739000000001</v>
      </c>
      <c r="M51" s="6">
        <v>489035</v>
      </c>
      <c r="N51" s="6">
        <v>4490822</v>
      </c>
      <c r="O51" s="6">
        <v>20.22</v>
      </c>
      <c r="P51" s="6">
        <v>482718</v>
      </c>
      <c r="Q51" s="6">
        <v>490732</v>
      </c>
      <c r="R51" s="6">
        <v>20.71</v>
      </c>
      <c r="S51" s="6">
        <v>2.75</v>
      </c>
      <c r="T51" s="9"/>
      <c r="U51" s="9">
        <v>2.7521244287555053E-2</v>
      </c>
      <c r="V51" s="9">
        <f t="shared" si="8"/>
        <v>3.6341628424476087E-2</v>
      </c>
      <c r="W51" s="9">
        <f t="shared" si="9"/>
        <v>-2.6479888998241396E-2</v>
      </c>
    </row>
    <row r="52" spans="2:23">
      <c r="B52" s="6" t="s">
        <v>79</v>
      </c>
      <c r="C52" s="6" t="s">
        <v>74</v>
      </c>
      <c r="D52" s="6">
        <v>364178</v>
      </c>
      <c r="E52" s="6">
        <v>45013.9</v>
      </c>
      <c r="F52" s="28"/>
      <c r="G52" s="28"/>
      <c r="H52" s="6">
        <v>362253</v>
      </c>
      <c r="I52" s="6">
        <v>2312.16</v>
      </c>
      <c r="J52" s="12">
        <v>379505</v>
      </c>
      <c r="K52" s="13">
        <v>397187.2</v>
      </c>
      <c r="L52" s="8">
        <v>15.074170000000001</v>
      </c>
      <c r="M52" s="6">
        <v>377425</v>
      </c>
      <c r="N52" s="6">
        <v>378491</v>
      </c>
      <c r="O52" s="6">
        <v>28.01</v>
      </c>
      <c r="P52" s="6">
        <v>372243</v>
      </c>
      <c r="Q52" s="6">
        <v>377928</v>
      </c>
      <c r="R52" s="6">
        <v>22.09</v>
      </c>
      <c r="S52" s="6">
        <v>2.17</v>
      </c>
      <c r="T52" s="9"/>
      <c r="U52" s="9">
        <v>2.6837307887589559E-2</v>
      </c>
      <c r="V52" s="9">
        <f t="shared" si="8"/>
        <v>3.6382591393069583E-2</v>
      </c>
      <c r="W52" s="9">
        <f t="shared" si="9"/>
        <v>-1.9135452760833192E-2</v>
      </c>
    </row>
    <row r="53" spans="2:23">
      <c r="B53" s="2" t="s">
        <v>14</v>
      </c>
      <c r="C53" s="2"/>
      <c r="D53" s="19">
        <f>AVERAGE(D23:D52)</f>
        <v>196632.86666666667</v>
      </c>
      <c r="E53" s="19">
        <f t="shared" ref="E53:S53" si="10">AVERAGE(E23:E52)</f>
        <v>16736.447</v>
      </c>
      <c r="F53" s="19"/>
      <c r="G53" s="19"/>
      <c r="H53" s="19">
        <f t="shared" si="10"/>
        <v>196343.76666666666</v>
      </c>
      <c r="I53" s="19">
        <f t="shared" si="10"/>
        <v>781.29499999999996</v>
      </c>
      <c r="J53" s="19">
        <f t="shared" si="10"/>
        <v>204947.93333333332</v>
      </c>
      <c r="K53" s="19">
        <f t="shared" si="10"/>
        <v>220430.13999999998</v>
      </c>
      <c r="L53" s="19">
        <f t="shared" si="10"/>
        <v>6.5998551333333335</v>
      </c>
      <c r="M53" s="19">
        <f t="shared" si="10"/>
        <v>203386.73333333334</v>
      </c>
      <c r="N53" s="19">
        <f t="shared" si="10"/>
        <v>337184.06666666665</v>
      </c>
      <c r="O53" s="19">
        <f t="shared" si="10"/>
        <v>8.9653333333333318</v>
      </c>
      <c r="P53" s="19">
        <f t="shared" si="10"/>
        <v>201275.03333333333</v>
      </c>
      <c r="Q53" s="19">
        <f t="shared" si="10"/>
        <v>203144.76666666666</v>
      </c>
      <c r="R53" s="19">
        <f t="shared" si="10"/>
        <v>9.1430000000000007</v>
      </c>
      <c r="S53" s="19">
        <f t="shared" si="10"/>
        <v>1.7753333333333332</v>
      </c>
      <c r="T53" s="2"/>
      <c r="U53" s="20">
        <f>AVERAGE(U23:U52)</f>
        <v>1.7776936485442627E-2</v>
      </c>
      <c r="V53" s="20">
        <f>AVERAGE(V23:V52)</f>
        <v>2.5483152900173448E-2</v>
      </c>
      <c r="W53" s="20">
        <f t="shared" si="9"/>
        <v>-1.7921137043262019E-2</v>
      </c>
    </row>
    <row r="54" spans="2:23">
      <c r="B54" s="3"/>
      <c r="C54" s="3"/>
      <c r="D54" s="3"/>
      <c r="E54" s="3"/>
      <c r="F54" s="3"/>
      <c r="G54" s="3"/>
      <c r="H54" s="3"/>
      <c r="I54" s="3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2:23">
      <c r="B55" s="3"/>
      <c r="C55" s="3"/>
      <c r="D55" s="3"/>
      <c r="E55" s="3"/>
      <c r="F55" s="3"/>
      <c r="G55" s="3"/>
      <c r="H55" s="3"/>
      <c r="I55" s="3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2:23">
      <c r="B56" s="3"/>
      <c r="C56" s="3"/>
      <c r="D56" s="3"/>
      <c r="E56" s="3"/>
      <c r="F56" s="3"/>
      <c r="G56" s="3"/>
      <c r="H56" s="3"/>
      <c r="I56" s="3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2:23">
      <c r="B57" s="3"/>
      <c r="C57" s="3"/>
      <c r="D57" s="3"/>
      <c r="E57" s="3"/>
      <c r="F57" s="3"/>
      <c r="G57" s="3"/>
      <c r="H57" s="3"/>
      <c r="I57" s="3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2:23">
      <c r="B58" s="3"/>
      <c r="C58" s="3"/>
      <c r="D58" s="3"/>
      <c r="E58" s="3"/>
      <c r="F58" s="3"/>
      <c r="G58" s="3"/>
      <c r="H58" s="3"/>
      <c r="I58" s="3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2:23">
      <c r="B59" s="3"/>
      <c r="C59" s="3"/>
      <c r="D59" s="3"/>
      <c r="E59" s="3"/>
      <c r="F59" s="3"/>
      <c r="G59" s="3"/>
      <c r="H59" s="3"/>
      <c r="I59" s="3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2:23">
      <c r="B60" s="1"/>
      <c r="C60" s="1"/>
      <c r="D60" s="24" t="s">
        <v>111</v>
      </c>
      <c r="E60" s="24"/>
      <c r="F60" s="25" t="s">
        <v>0</v>
      </c>
      <c r="G60" s="25"/>
      <c r="H60" s="25" t="s">
        <v>1</v>
      </c>
      <c r="I60" s="25"/>
      <c r="J60" s="25" t="s">
        <v>2</v>
      </c>
      <c r="K60" s="25"/>
      <c r="L60" s="25"/>
      <c r="M60" s="25" t="s">
        <v>3</v>
      </c>
      <c r="N60" s="25"/>
      <c r="O60" s="25"/>
      <c r="P60" s="25" t="s">
        <v>4</v>
      </c>
      <c r="Q60" s="25"/>
      <c r="R60" s="25"/>
      <c r="S60" s="25"/>
      <c r="T60" s="25"/>
      <c r="U60" s="25"/>
      <c r="V60" s="25"/>
      <c r="W60" s="25"/>
    </row>
    <row r="61" spans="2:23">
      <c r="B61" s="2" t="s">
        <v>5</v>
      </c>
      <c r="C61" s="2" t="s">
        <v>6</v>
      </c>
      <c r="D61" s="2" t="s">
        <v>7</v>
      </c>
      <c r="E61" s="2" t="s">
        <v>8</v>
      </c>
      <c r="F61" s="4" t="s">
        <v>9</v>
      </c>
      <c r="G61" s="4" t="s">
        <v>10</v>
      </c>
      <c r="H61" s="4" t="s">
        <v>9</v>
      </c>
      <c r="I61" s="4" t="s">
        <v>10</v>
      </c>
      <c r="J61" s="5" t="s">
        <v>11</v>
      </c>
      <c r="K61" s="5" t="s">
        <v>12</v>
      </c>
      <c r="L61" s="4" t="s">
        <v>13</v>
      </c>
      <c r="M61" s="4" t="s">
        <v>11</v>
      </c>
      <c r="N61" s="4" t="s">
        <v>14</v>
      </c>
      <c r="O61" s="4" t="s">
        <v>13</v>
      </c>
      <c r="P61" s="4" t="s">
        <v>9</v>
      </c>
      <c r="Q61" s="4" t="s">
        <v>15</v>
      </c>
      <c r="R61" s="4" t="s">
        <v>13</v>
      </c>
      <c r="S61" s="2" t="s">
        <v>16</v>
      </c>
      <c r="T61" s="2" t="s">
        <v>17</v>
      </c>
      <c r="U61" s="2" t="s">
        <v>18</v>
      </c>
      <c r="V61" s="4" t="s">
        <v>19</v>
      </c>
      <c r="W61" s="4" t="s">
        <v>20</v>
      </c>
    </row>
    <row r="62" spans="2:23">
      <c r="B62" s="3" t="s">
        <v>80</v>
      </c>
      <c r="C62" s="3" t="s">
        <v>81</v>
      </c>
      <c r="D62" s="3">
        <v>819.52</v>
      </c>
      <c r="E62" s="3">
        <v>2.4500000000000002</v>
      </c>
      <c r="F62" s="29" t="s">
        <v>112</v>
      </c>
      <c r="G62" s="29"/>
      <c r="H62" s="29"/>
      <c r="I62" s="29"/>
      <c r="J62" s="7">
        <v>819.51017000000002</v>
      </c>
      <c r="K62" s="7">
        <v>830.36094600000001</v>
      </c>
      <c r="L62" s="8">
        <v>1.39063</v>
      </c>
      <c r="M62" s="3">
        <v>819.52</v>
      </c>
      <c r="N62" s="3">
        <v>823.71</v>
      </c>
      <c r="O62" s="3">
        <v>2.91</v>
      </c>
      <c r="P62" s="3">
        <v>819.52</v>
      </c>
      <c r="Q62" s="3">
        <v>823.71</v>
      </c>
      <c r="R62" s="3">
        <v>3.6</v>
      </c>
      <c r="S62" s="3">
        <v>0</v>
      </c>
      <c r="T62" s="3"/>
      <c r="U62" s="3"/>
      <c r="V62" s="3">
        <v>0.51</v>
      </c>
      <c r="W62" s="9">
        <f>(P62-J62)/P62</f>
        <v>1.1994826239707837E-5</v>
      </c>
    </row>
    <row r="63" spans="2:23">
      <c r="B63" s="3" t="s">
        <v>82</v>
      </c>
      <c r="C63" s="3" t="s">
        <v>81</v>
      </c>
      <c r="D63" s="3">
        <v>821.46</v>
      </c>
      <c r="E63" s="3">
        <v>3.72</v>
      </c>
      <c r="F63" s="30"/>
      <c r="G63" s="30"/>
      <c r="H63" s="30"/>
      <c r="I63" s="30"/>
      <c r="J63" s="7">
        <v>821.45499299999994</v>
      </c>
      <c r="K63" s="7">
        <v>838.44229800000005</v>
      </c>
      <c r="L63" s="8">
        <v>2.4739599999999999</v>
      </c>
      <c r="M63" s="3">
        <v>822.42</v>
      </c>
      <c r="N63" s="3">
        <v>824.92</v>
      </c>
      <c r="O63" s="3">
        <v>3.92</v>
      </c>
      <c r="P63" s="3">
        <v>821.46</v>
      </c>
      <c r="Q63" s="3">
        <v>824.61</v>
      </c>
      <c r="R63" s="3">
        <v>3.52</v>
      </c>
      <c r="S63" s="3">
        <v>0</v>
      </c>
      <c r="T63" s="3"/>
      <c r="U63" s="3"/>
      <c r="V63" s="3">
        <v>0.38</v>
      </c>
      <c r="W63" s="9">
        <f t="shared" ref="W63:W74" si="11">(P63-J63)/P63</f>
        <v>6.0952450516050277E-6</v>
      </c>
    </row>
    <row r="64" spans="2:23">
      <c r="B64" s="3" t="s">
        <v>83</v>
      </c>
      <c r="C64" s="3" t="s">
        <v>81</v>
      </c>
      <c r="D64" s="3">
        <v>702.29</v>
      </c>
      <c r="E64" s="3">
        <v>0.5</v>
      </c>
      <c r="F64" s="30"/>
      <c r="G64" s="30"/>
      <c r="H64" s="30"/>
      <c r="I64" s="30"/>
      <c r="J64" s="7">
        <v>720.52821300000005</v>
      </c>
      <c r="K64" s="7">
        <v>729.19031399999994</v>
      </c>
      <c r="L64" s="8">
        <v>3.0265339999999998</v>
      </c>
      <c r="M64" s="3">
        <v>705.92</v>
      </c>
      <c r="N64" s="3">
        <v>714.92</v>
      </c>
      <c r="O64" s="3">
        <v>3.73</v>
      </c>
      <c r="P64" s="3">
        <v>706.81</v>
      </c>
      <c r="Q64" s="3">
        <v>713.65</v>
      </c>
      <c r="R64" s="3">
        <v>3.1</v>
      </c>
      <c r="S64" s="3">
        <v>0.64</v>
      </c>
      <c r="T64" s="3"/>
      <c r="U64" s="3"/>
      <c r="V64" s="3">
        <v>1.59</v>
      </c>
      <c r="W64" s="9">
        <f t="shared" si="11"/>
        <v>-1.9408628910174031E-2</v>
      </c>
    </row>
    <row r="65" spans="2:23">
      <c r="B65" s="3" t="s">
        <v>84</v>
      </c>
      <c r="C65" s="3" t="s">
        <v>81</v>
      </c>
      <c r="D65" s="3">
        <v>880.02</v>
      </c>
      <c r="E65" s="3">
        <v>4.57</v>
      </c>
      <c r="F65" s="30"/>
      <c r="G65" s="30"/>
      <c r="H65" s="30"/>
      <c r="I65" s="30"/>
      <c r="J65" s="7">
        <v>880.02864699999998</v>
      </c>
      <c r="K65" s="7">
        <v>880.02864699999998</v>
      </c>
      <c r="L65" s="8">
        <v>2.151303</v>
      </c>
      <c r="M65" s="3">
        <v>881.83</v>
      </c>
      <c r="N65" s="3">
        <v>883.2</v>
      </c>
      <c r="O65" s="3">
        <v>3.89</v>
      </c>
      <c r="P65" s="3">
        <v>880.02</v>
      </c>
      <c r="Q65" s="3">
        <v>880.06</v>
      </c>
      <c r="R65" s="3">
        <v>3.76</v>
      </c>
      <c r="S65" s="3">
        <v>0</v>
      </c>
      <c r="T65" s="3"/>
      <c r="U65" s="3"/>
      <c r="V65" s="3">
        <v>0</v>
      </c>
      <c r="W65" s="9">
        <f t="shared" si="11"/>
        <v>-9.8259130474265326E-6</v>
      </c>
    </row>
    <row r="66" spans="2:23">
      <c r="B66" s="3" t="s">
        <v>85</v>
      </c>
      <c r="C66" s="3" t="s">
        <v>81</v>
      </c>
      <c r="D66" s="3">
        <v>825.32</v>
      </c>
      <c r="E66" s="3">
        <v>1.24</v>
      </c>
      <c r="F66" s="30"/>
      <c r="G66" s="30"/>
      <c r="H66" s="30"/>
      <c r="I66" s="30"/>
      <c r="J66" s="7">
        <v>825.31792499999995</v>
      </c>
      <c r="K66" s="7">
        <v>825.31792499999995</v>
      </c>
      <c r="L66" s="8">
        <v>4.2365719999999998</v>
      </c>
      <c r="M66" s="3">
        <v>825.32</v>
      </c>
      <c r="N66" s="3">
        <v>828.01</v>
      </c>
      <c r="O66" s="3">
        <v>3.98</v>
      </c>
      <c r="P66" s="3">
        <v>825.32</v>
      </c>
      <c r="Q66" s="3">
        <v>829.97</v>
      </c>
      <c r="R66" s="3">
        <v>3.66</v>
      </c>
      <c r="S66" s="3">
        <v>0</v>
      </c>
      <c r="T66" s="3"/>
      <c r="U66" s="3"/>
      <c r="V66" s="3">
        <v>0.56000000000000005</v>
      </c>
      <c r="W66" s="9">
        <f t="shared" si="11"/>
        <v>2.5141763196147068E-6</v>
      </c>
    </row>
    <row r="67" spans="2:23">
      <c r="B67" s="3" t="s">
        <v>86</v>
      </c>
      <c r="C67" s="3" t="s">
        <v>81</v>
      </c>
      <c r="D67" s="3">
        <v>884.58</v>
      </c>
      <c r="E67" s="3">
        <v>1.23</v>
      </c>
      <c r="F67" s="30"/>
      <c r="G67" s="30"/>
      <c r="H67" s="30"/>
      <c r="I67" s="30"/>
      <c r="J67" s="7">
        <v>884.57953299999997</v>
      </c>
      <c r="K67" s="7">
        <v>891.11345200000005</v>
      </c>
      <c r="L67" s="8">
        <v>3.0415209999999999</v>
      </c>
      <c r="M67" s="3">
        <v>894.54</v>
      </c>
      <c r="N67" s="3">
        <v>899.08</v>
      </c>
      <c r="O67" s="3">
        <v>4.01</v>
      </c>
      <c r="P67" s="3">
        <v>892.81</v>
      </c>
      <c r="Q67" s="3">
        <v>897.81</v>
      </c>
      <c r="R67" s="3">
        <v>3.12</v>
      </c>
      <c r="S67" s="3">
        <v>0.92</v>
      </c>
      <c r="T67" s="3"/>
      <c r="U67" s="3"/>
      <c r="V67" s="3">
        <v>1.47</v>
      </c>
      <c r="W67" s="9">
        <f t="shared" si="11"/>
        <v>9.2186097825964954E-3</v>
      </c>
    </row>
    <row r="68" spans="2:23">
      <c r="B68" s="3" t="s">
        <v>87</v>
      </c>
      <c r="C68" s="3" t="s">
        <v>88</v>
      </c>
      <c r="D68" s="3">
        <v>928.1</v>
      </c>
      <c r="E68" s="3">
        <v>14.67</v>
      </c>
      <c r="F68" s="30"/>
      <c r="G68" s="30"/>
      <c r="H68" s="30"/>
      <c r="I68" s="30"/>
      <c r="J68" s="7">
        <v>931.84344799999997</v>
      </c>
      <c r="K68" s="7">
        <v>938.438087</v>
      </c>
      <c r="L68" s="8">
        <v>2.0711810000000002</v>
      </c>
      <c r="M68" s="3">
        <v>930.84</v>
      </c>
      <c r="N68" s="3">
        <v>936.77</v>
      </c>
      <c r="O68" s="3">
        <v>4.76</v>
      </c>
      <c r="P68" s="3">
        <v>929.25</v>
      </c>
      <c r="Q68" s="3">
        <v>934.33</v>
      </c>
      <c r="R68" s="3">
        <v>4.8600000000000003</v>
      </c>
      <c r="S68" s="3">
        <v>0.12</v>
      </c>
      <c r="T68" s="3"/>
      <c r="U68" s="3"/>
      <c r="V68" s="3">
        <v>0.67</v>
      </c>
      <c r="W68" s="9">
        <f t="shared" si="11"/>
        <v>-2.7909044928705589E-3</v>
      </c>
    </row>
    <row r="69" spans="2:23">
      <c r="B69" s="3" t="s">
        <v>89</v>
      </c>
      <c r="C69" s="3" t="s">
        <v>88</v>
      </c>
      <c r="D69" s="3">
        <v>888.42</v>
      </c>
      <c r="E69" s="3">
        <v>11.88</v>
      </c>
      <c r="F69" s="30"/>
      <c r="G69" s="30"/>
      <c r="H69" s="30"/>
      <c r="I69" s="30"/>
      <c r="J69" s="7">
        <v>888.77810799999997</v>
      </c>
      <c r="K69" s="7">
        <v>892.48203899999999</v>
      </c>
      <c r="L69" s="8">
        <v>4.0460719999999997</v>
      </c>
      <c r="M69" s="3">
        <v>889.93</v>
      </c>
      <c r="N69" s="3">
        <v>896.76</v>
      </c>
      <c r="O69" s="3">
        <v>4.92</v>
      </c>
      <c r="P69" s="3">
        <v>888.42</v>
      </c>
      <c r="Q69" s="3">
        <v>894.33</v>
      </c>
      <c r="R69" s="3">
        <v>4.24</v>
      </c>
      <c r="S69" s="3">
        <v>0</v>
      </c>
      <c r="T69" s="3"/>
      <c r="U69" s="3"/>
      <c r="V69" s="3">
        <v>0.66</v>
      </c>
      <c r="W69" s="9">
        <f t="shared" si="11"/>
        <v>-4.0308412687694521E-4</v>
      </c>
    </row>
    <row r="70" spans="2:23">
      <c r="B70" s="3" t="s">
        <v>90</v>
      </c>
      <c r="C70" s="3" t="s">
        <v>88</v>
      </c>
      <c r="D70" s="3">
        <v>947.3</v>
      </c>
      <c r="E70" s="3">
        <v>11.36</v>
      </c>
      <c r="F70" s="30"/>
      <c r="G70" s="30"/>
      <c r="H70" s="30"/>
      <c r="I70" s="30"/>
      <c r="J70" s="7">
        <v>947.25701600000002</v>
      </c>
      <c r="K70" s="7">
        <v>958.47732499999995</v>
      </c>
      <c r="L70" s="8">
        <v>3.364547</v>
      </c>
      <c r="M70" s="3">
        <v>953.61</v>
      </c>
      <c r="N70" s="3">
        <v>958.53</v>
      </c>
      <c r="O70" s="3">
        <v>3.98</v>
      </c>
      <c r="P70" s="3">
        <v>952.88</v>
      </c>
      <c r="Q70" s="3">
        <v>956.78</v>
      </c>
      <c r="R70" s="3">
        <v>4.67</v>
      </c>
      <c r="S70" s="3">
        <v>0.59</v>
      </c>
      <c r="T70" s="3"/>
      <c r="U70" s="3"/>
      <c r="V70" s="3">
        <v>0.99</v>
      </c>
      <c r="W70" s="9">
        <f t="shared" si="11"/>
        <v>5.9010410544874216E-3</v>
      </c>
    </row>
    <row r="71" spans="2:23">
      <c r="B71" s="3" t="s">
        <v>91</v>
      </c>
      <c r="C71" s="3" t="s">
        <v>88</v>
      </c>
      <c r="D71" s="3">
        <v>1052.04</v>
      </c>
      <c r="E71" s="3">
        <v>10.49</v>
      </c>
      <c r="F71" s="30"/>
      <c r="G71" s="30"/>
      <c r="H71" s="30"/>
      <c r="I71" s="30"/>
      <c r="J71" s="7">
        <v>1097.5141369999999</v>
      </c>
      <c r="K71" s="7">
        <v>1114.997607</v>
      </c>
      <c r="L71" s="8">
        <v>4.2636339999999997</v>
      </c>
      <c r="M71" s="3">
        <v>1057.6600000000001</v>
      </c>
      <c r="N71" s="3">
        <v>1065.31</v>
      </c>
      <c r="O71" s="3">
        <v>4.6399999999999997</v>
      </c>
      <c r="P71" s="3">
        <v>1057.6600000000001</v>
      </c>
      <c r="Q71" s="3">
        <v>1063.8699999999999</v>
      </c>
      <c r="R71" s="3">
        <v>4.8099999999999996</v>
      </c>
      <c r="S71" s="3">
        <v>0.53</v>
      </c>
      <c r="T71" s="3"/>
      <c r="U71" s="3"/>
      <c r="V71" s="3">
        <v>1.1100000000000001</v>
      </c>
      <c r="W71" s="9">
        <f t="shared" si="11"/>
        <v>-3.7681425978102423E-2</v>
      </c>
    </row>
    <row r="72" spans="2:23">
      <c r="B72" s="3" t="s">
        <v>92</v>
      </c>
      <c r="C72" s="3" t="s">
        <v>88</v>
      </c>
      <c r="D72" s="3">
        <v>981.54</v>
      </c>
      <c r="E72" s="3">
        <v>3.77</v>
      </c>
      <c r="F72" s="30"/>
      <c r="G72" s="30"/>
      <c r="H72" s="30"/>
      <c r="I72" s="30"/>
      <c r="J72" s="7">
        <v>981.544038</v>
      </c>
      <c r="K72" s="7">
        <v>1025.423051</v>
      </c>
      <c r="L72" s="8">
        <v>2.349164</v>
      </c>
      <c r="M72" s="3">
        <v>981.54</v>
      </c>
      <c r="N72" s="3">
        <v>984.89</v>
      </c>
      <c r="O72" s="3">
        <v>4.43</v>
      </c>
      <c r="P72" s="3">
        <v>981.54</v>
      </c>
      <c r="Q72" s="3">
        <v>983.62</v>
      </c>
      <c r="R72" s="3">
        <v>4.24</v>
      </c>
      <c r="S72" s="3">
        <v>0</v>
      </c>
      <c r="T72" s="3"/>
      <c r="U72" s="3"/>
      <c r="V72" s="3">
        <v>0.21</v>
      </c>
      <c r="W72" s="9">
        <f t="shared" si="11"/>
        <v>-4.1139433951105874E-6</v>
      </c>
    </row>
    <row r="73" spans="2:23">
      <c r="B73" s="3" t="s">
        <v>93</v>
      </c>
      <c r="C73" s="3" t="s">
        <v>88</v>
      </c>
      <c r="D73" s="3">
        <v>964.33</v>
      </c>
      <c r="E73" s="3">
        <v>2.68</v>
      </c>
      <c r="F73" s="31"/>
      <c r="G73" s="31"/>
      <c r="H73" s="31"/>
      <c r="I73" s="31"/>
      <c r="J73" s="7">
        <v>987.21053700000004</v>
      </c>
      <c r="K73" s="7">
        <v>1025.9360549999999</v>
      </c>
      <c r="L73" s="8">
        <v>5.7449729999999999</v>
      </c>
      <c r="M73" s="3">
        <v>964.33</v>
      </c>
      <c r="N73" s="3">
        <v>973.9</v>
      </c>
      <c r="O73" s="3">
        <v>5.01</v>
      </c>
      <c r="P73" s="3">
        <v>964.33</v>
      </c>
      <c r="Q73" s="3">
        <v>975.245</v>
      </c>
      <c r="R73" s="3">
        <v>4.2</v>
      </c>
      <c r="S73" s="3">
        <v>0</v>
      </c>
      <c r="T73" s="3"/>
      <c r="U73" s="3"/>
      <c r="V73" s="3">
        <v>1.1200000000000001</v>
      </c>
      <c r="W73" s="9">
        <f t="shared" si="11"/>
        <v>-2.3726874617610156E-2</v>
      </c>
    </row>
    <row r="74" spans="2:23">
      <c r="B74" s="2" t="s">
        <v>14</v>
      </c>
      <c r="C74" s="2"/>
      <c r="D74" s="19">
        <f>AVERAGE(D62:D73)</f>
        <v>891.24333333333334</v>
      </c>
      <c r="E74" s="19">
        <f>AVERAGE(E62:E73)</f>
        <v>5.7133333333333347</v>
      </c>
      <c r="F74" s="2"/>
      <c r="G74" s="2"/>
      <c r="H74" s="2"/>
      <c r="I74" s="2"/>
      <c r="J74" s="23">
        <f>AVERAGE(J62:J73)</f>
        <v>898.79723041666659</v>
      </c>
      <c r="K74" s="23">
        <f>AVERAGE(K62:K73)</f>
        <v>912.51731216666667</v>
      </c>
      <c r="L74" s="23">
        <f>AVERAGE(L62:L73)</f>
        <v>3.180007583333333</v>
      </c>
      <c r="M74" s="19">
        <f t="shared" ref="M74:S74" si="12">AVERAGE(M62:M73)</f>
        <v>893.95500000000004</v>
      </c>
      <c r="N74" s="19">
        <f t="shared" si="12"/>
        <v>899.16666666666663</v>
      </c>
      <c r="O74" s="19">
        <f t="shared" si="12"/>
        <v>4.1816666666666658</v>
      </c>
      <c r="P74" s="19">
        <f t="shared" si="12"/>
        <v>893.33500000000015</v>
      </c>
      <c r="Q74" s="19">
        <f t="shared" si="12"/>
        <v>898.16541666666672</v>
      </c>
      <c r="R74" s="19">
        <f t="shared" si="12"/>
        <v>3.9816666666666674</v>
      </c>
      <c r="S74" s="19">
        <f t="shared" si="12"/>
        <v>0.23333333333333331</v>
      </c>
      <c r="T74" s="2"/>
      <c r="U74" s="2"/>
      <c r="V74" s="19">
        <f>AVERAGE(V62:V73)</f>
        <v>0.77249999999999996</v>
      </c>
      <c r="W74" s="20">
        <f t="shared" si="11"/>
        <v>-6.1144256260713421E-3</v>
      </c>
    </row>
    <row r="75" spans="2:23">
      <c r="B75" s="3"/>
      <c r="C75" s="3"/>
      <c r="D75" s="3"/>
      <c r="E75" s="3"/>
      <c r="F75" s="3"/>
      <c r="G75" s="3"/>
      <c r="H75" s="3"/>
      <c r="I75" s="3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2:23">
      <c r="B76" s="3"/>
      <c r="C76" s="3"/>
      <c r="D76" s="3"/>
      <c r="E76" s="3"/>
      <c r="F76" s="3"/>
      <c r="G76" s="3"/>
      <c r="H76" s="3"/>
      <c r="I76" s="3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2:23">
      <c r="B77" s="3"/>
      <c r="C77" s="3"/>
      <c r="D77" s="3"/>
      <c r="E77" s="3"/>
      <c r="F77" s="3"/>
      <c r="G77" s="3"/>
      <c r="H77" s="3"/>
      <c r="I77" s="3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 t="s">
        <v>94</v>
      </c>
    </row>
    <row r="78" spans="2:23">
      <c r="B78" s="3"/>
      <c r="C78" s="3"/>
      <c r="D78" s="3"/>
      <c r="E78" s="3"/>
      <c r="F78" s="3"/>
      <c r="G78" s="3"/>
      <c r="H78" s="3"/>
      <c r="I78" s="3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2:23">
      <c r="B79" s="3"/>
      <c r="C79" s="3"/>
      <c r="D79" s="3"/>
      <c r="E79" s="3"/>
      <c r="F79" s="3"/>
      <c r="G79" s="3"/>
      <c r="H79" s="3"/>
      <c r="I79" s="3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2:23">
      <c r="B80" s="3"/>
      <c r="C80" s="3"/>
      <c r="D80" s="3"/>
      <c r="E80" s="3"/>
      <c r="F80" s="3"/>
      <c r="G80" s="3"/>
      <c r="H80" s="3"/>
      <c r="I80" s="3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2:23">
      <c r="B81" s="3"/>
      <c r="C81" s="3"/>
      <c r="D81" s="3"/>
      <c r="E81" s="3"/>
      <c r="F81" s="3"/>
      <c r="G81" s="3"/>
      <c r="H81" s="3"/>
      <c r="I81" s="3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2:23">
      <c r="B82" s="1"/>
      <c r="C82" s="1"/>
      <c r="D82" s="24" t="s">
        <v>111</v>
      </c>
      <c r="E82" s="24"/>
      <c r="F82" s="25" t="s">
        <v>0</v>
      </c>
      <c r="G82" s="25"/>
      <c r="H82" s="25" t="s">
        <v>1</v>
      </c>
      <c r="I82" s="25"/>
      <c r="J82" s="25" t="s">
        <v>2</v>
      </c>
      <c r="K82" s="25"/>
      <c r="L82" s="25"/>
      <c r="M82" s="25" t="s">
        <v>3</v>
      </c>
      <c r="N82" s="25"/>
      <c r="O82" s="25"/>
      <c r="P82" s="25" t="s">
        <v>4</v>
      </c>
      <c r="Q82" s="25"/>
      <c r="R82" s="25"/>
      <c r="S82" s="25"/>
      <c r="T82" s="25"/>
      <c r="U82" s="25"/>
      <c r="V82" s="25"/>
      <c r="W82" s="25"/>
    </row>
    <row r="83" spans="2:23">
      <c r="B83" s="2" t="s">
        <v>5</v>
      </c>
      <c r="C83" s="2" t="s">
        <v>6</v>
      </c>
      <c r="D83" s="2" t="s">
        <v>7</v>
      </c>
      <c r="E83" s="2" t="s">
        <v>8</v>
      </c>
      <c r="F83" s="4" t="s">
        <v>9</v>
      </c>
      <c r="G83" s="4" t="s">
        <v>10</v>
      </c>
      <c r="H83" s="4" t="s">
        <v>9</v>
      </c>
      <c r="I83" s="4" t="s">
        <v>10</v>
      </c>
      <c r="J83" s="5" t="s">
        <v>11</v>
      </c>
      <c r="K83" s="5" t="s">
        <v>12</v>
      </c>
      <c r="L83" s="4" t="s">
        <v>13</v>
      </c>
      <c r="M83" s="4" t="s">
        <v>11</v>
      </c>
      <c r="N83" s="4" t="s">
        <v>14</v>
      </c>
      <c r="O83" s="4" t="s">
        <v>13</v>
      </c>
      <c r="P83" s="4" t="s">
        <v>9</v>
      </c>
      <c r="Q83" s="4" t="s">
        <v>15</v>
      </c>
      <c r="R83" s="4" t="s">
        <v>13</v>
      </c>
      <c r="S83" s="2" t="s">
        <v>16</v>
      </c>
      <c r="T83" s="2" t="s">
        <v>17</v>
      </c>
      <c r="U83" s="2" t="s">
        <v>18</v>
      </c>
      <c r="V83" s="4" t="s">
        <v>19</v>
      </c>
      <c r="W83" s="4" t="s">
        <v>20</v>
      </c>
    </row>
    <row r="84" spans="2:23">
      <c r="B84" s="3" t="s">
        <v>95</v>
      </c>
      <c r="C84" s="3" t="s">
        <v>45</v>
      </c>
      <c r="D84" s="3">
        <v>1467.68</v>
      </c>
      <c r="E84" s="3">
        <v>4467.07</v>
      </c>
      <c r="F84" s="3">
        <v>1500.42</v>
      </c>
      <c r="G84" s="3">
        <v>3.35</v>
      </c>
      <c r="H84" s="3">
        <v>1467.68</v>
      </c>
      <c r="I84" s="3">
        <v>1306.81</v>
      </c>
      <c r="J84" s="12">
        <v>1489.188015</v>
      </c>
      <c r="K84" s="12">
        <v>1635.322322</v>
      </c>
      <c r="L84">
        <v>13.04115</v>
      </c>
      <c r="M84" s="3">
        <v>1492.05</v>
      </c>
      <c r="N84" s="3">
        <v>1519.22</v>
      </c>
      <c r="O84" s="3">
        <v>19.36</v>
      </c>
      <c r="P84" s="3">
        <v>1492.05</v>
      </c>
      <c r="Q84" s="3">
        <v>1526.17</v>
      </c>
      <c r="R84" s="3">
        <v>26.01</v>
      </c>
      <c r="S84" s="3">
        <v>1.63</v>
      </c>
      <c r="T84" s="9">
        <v>-5.5784380373496206E-3</v>
      </c>
      <c r="U84" s="9">
        <v>1.6333232800509294E-2</v>
      </c>
      <c r="V84" s="9">
        <f t="shared" ref="V84:V92" si="13">(Q84-D84)/Q84</f>
        <v>3.8324695151916235E-2</v>
      </c>
      <c r="W84" s="9">
        <f>(P84-J84)/P84</f>
        <v>1.9181562280084477E-3</v>
      </c>
    </row>
    <row r="85" spans="2:23">
      <c r="B85" s="3" t="s">
        <v>96</v>
      </c>
      <c r="C85" s="3" t="s">
        <v>45</v>
      </c>
      <c r="D85" s="3">
        <v>1394.8</v>
      </c>
      <c r="E85" s="3">
        <v>21548.3</v>
      </c>
      <c r="F85" s="3">
        <v>1427.53</v>
      </c>
      <c r="G85" s="3">
        <v>4.01</v>
      </c>
      <c r="H85" s="3">
        <v>1394.8</v>
      </c>
      <c r="I85" s="3">
        <v>1253.5999999999999</v>
      </c>
      <c r="J85" s="12">
        <v>1403.1919829999999</v>
      </c>
      <c r="K85" s="12">
        <v>1489.7953520000001</v>
      </c>
      <c r="L85">
        <v>10.281715</v>
      </c>
      <c r="M85" s="3">
        <v>1437.3</v>
      </c>
      <c r="N85" s="3">
        <v>1452.41</v>
      </c>
      <c r="O85" s="3">
        <v>24.71</v>
      </c>
      <c r="P85" s="3">
        <v>1433.53</v>
      </c>
      <c r="Q85" s="3">
        <v>1458.32</v>
      </c>
      <c r="R85" s="3">
        <v>23.85</v>
      </c>
      <c r="S85" s="3">
        <v>2.7</v>
      </c>
      <c r="T85" s="9">
        <v>4.2030640336805534E-3</v>
      </c>
      <c r="U85" s="9">
        <v>2.7017223218209607E-2</v>
      </c>
      <c r="V85" s="9">
        <f t="shared" si="13"/>
        <v>4.3556969663722626E-2</v>
      </c>
      <c r="W85" s="9">
        <f t="shared" ref="W85:W92" si="14">(P85-J85)/P85</f>
        <v>2.1163154590416688E-2</v>
      </c>
    </row>
    <row r="86" spans="2:23">
      <c r="B86" s="3" t="s">
        <v>97</v>
      </c>
      <c r="C86" s="3" t="s">
        <v>45</v>
      </c>
      <c r="D86" s="3">
        <v>1167.1600000000001</v>
      </c>
      <c r="E86" s="3">
        <v>310.77</v>
      </c>
      <c r="F86" s="3">
        <v>1217.8399999999999</v>
      </c>
      <c r="G86" s="3">
        <v>3.35</v>
      </c>
      <c r="H86" s="3">
        <v>1167.1600000000001</v>
      </c>
      <c r="I86" s="3">
        <v>1194.3399999999999</v>
      </c>
      <c r="J86" s="12">
        <v>1204.2222300000001</v>
      </c>
      <c r="K86" s="12">
        <v>1327.79349</v>
      </c>
      <c r="L86">
        <v>10.319307</v>
      </c>
      <c r="M86" s="3">
        <v>1192.1199999999999</v>
      </c>
      <c r="N86" s="3">
        <v>1223.75</v>
      </c>
      <c r="O86" s="3">
        <v>28.31</v>
      </c>
      <c r="P86" s="3">
        <v>1189.2</v>
      </c>
      <c r="Q86" s="3">
        <v>1217.75</v>
      </c>
      <c r="R86" s="3">
        <v>25.35</v>
      </c>
      <c r="S86" s="3">
        <v>1.85</v>
      </c>
      <c r="T86" s="9">
        <v>-2.3517046574262526E-2</v>
      </c>
      <c r="U86" s="9">
        <v>1.8533467877564717E-2</v>
      </c>
      <c r="V86" s="9">
        <f t="shared" si="13"/>
        <v>4.1543830835557315E-2</v>
      </c>
      <c r="W86" s="9">
        <f t="shared" si="14"/>
        <v>-1.2632214934409717E-2</v>
      </c>
    </row>
    <row r="87" spans="2:23">
      <c r="B87" s="3" t="s">
        <v>98</v>
      </c>
      <c r="C87" s="3" t="s">
        <v>45</v>
      </c>
      <c r="D87" s="3">
        <v>791.66</v>
      </c>
      <c r="E87" s="3">
        <v>1839.47</v>
      </c>
      <c r="F87" s="3">
        <v>791.66</v>
      </c>
      <c r="G87" s="3">
        <v>3.21</v>
      </c>
      <c r="H87" s="3">
        <v>791.66</v>
      </c>
      <c r="I87" s="3">
        <v>1050.53</v>
      </c>
      <c r="J87" s="12">
        <v>853.48585200000002</v>
      </c>
      <c r="K87" s="12">
        <v>976.52302499999996</v>
      </c>
      <c r="L87">
        <v>12.31692</v>
      </c>
      <c r="M87" s="3">
        <v>818.63</v>
      </c>
      <c r="N87" s="3">
        <v>825.71</v>
      </c>
      <c r="O87" s="3">
        <v>28.44</v>
      </c>
      <c r="P87" s="3">
        <v>815.52</v>
      </c>
      <c r="Q87" s="3">
        <v>823.89</v>
      </c>
      <c r="R87" s="3">
        <v>28.11</v>
      </c>
      <c r="S87" s="3">
        <v>2.93</v>
      </c>
      <c r="T87" s="9">
        <v>3.0139201172220416E-2</v>
      </c>
      <c r="U87" s="9">
        <v>2.9257406317441649E-2</v>
      </c>
      <c r="V87" s="9">
        <f t="shared" si="13"/>
        <v>3.9119299906540943E-2</v>
      </c>
      <c r="W87" s="9">
        <f t="shared" si="14"/>
        <v>-4.6554164214243722E-2</v>
      </c>
    </row>
    <row r="88" spans="2:23">
      <c r="B88" s="3" t="s">
        <v>99</v>
      </c>
      <c r="C88" s="3" t="s">
        <v>45</v>
      </c>
      <c r="D88" s="3">
        <v>1238.24</v>
      </c>
      <c r="E88" s="3">
        <v>171702.98</v>
      </c>
      <c r="F88" s="3">
        <v>1285.25</v>
      </c>
      <c r="G88" s="3">
        <v>3.3</v>
      </c>
      <c r="H88" s="3">
        <v>1238.49</v>
      </c>
      <c r="I88" s="3">
        <v>994.84</v>
      </c>
      <c r="J88" s="12">
        <v>1247.007053</v>
      </c>
      <c r="K88" s="12">
        <v>1345.9196320000001</v>
      </c>
      <c r="L88">
        <v>11.243171999999999</v>
      </c>
      <c r="M88" s="3">
        <v>1303.46</v>
      </c>
      <c r="N88" s="3">
        <v>1312.18</v>
      </c>
      <c r="O88" s="3">
        <v>26.01</v>
      </c>
      <c r="P88" s="3">
        <v>1297.3900000000001</v>
      </c>
      <c r="Q88" s="3">
        <v>1310.3900000000001</v>
      </c>
      <c r="R88" s="3">
        <v>24.98</v>
      </c>
      <c r="S88" s="3">
        <v>4.5599999999999996</v>
      </c>
      <c r="T88" s="9">
        <v>9.4456331453025479E-3</v>
      </c>
      <c r="U88" s="9">
        <v>4.5398839207948329E-2</v>
      </c>
      <c r="V88" s="9">
        <f t="shared" si="13"/>
        <v>5.5059943986141599E-2</v>
      </c>
      <c r="W88" s="9">
        <f t="shared" si="14"/>
        <v>3.8834079960536193E-2</v>
      </c>
    </row>
    <row r="89" spans="2:23">
      <c r="B89" s="3" t="s">
        <v>100</v>
      </c>
      <c r="C89" s="3" t="s">
        <v>45</v>
      </c>
      <c r="D89" s="3">
        <v>902.26</v>
      </c>
      <c r="E89" s="3">
        <v>153.22999999999999</v>
      </c>
      <c r="F89" s="3">
        <v>902.26</v>
      </c>
      <c r="G89" s="3">
        <v>3.28</v>
      </c>
      <c r="H89" s="3">
        <v>902.26</v>
      </c>
      <c r="I89" s="3">
        <v>883.29</v>
      </c>
      <c r="J89" s="12">
        <v>964.28006500000004</v>
      </c>
      <c r="K89" s="12">
        <v>1155.536177</v>
      </c>
      <c r="L89">
        <v>14.317804000000001</v>
      </c>
      <c r="M89" s="3">
        <v>918.32</v>
      </c>
      <c r="N89" s="3">
        <v>919.77</v>
      </c>
      <c r="O89" s="3">
        <v>24.05</v>
      </c>
      <c r="P89" s="3">
        <v>916.77</v>
      </c>
      <c r="Q89" s="3">
        <v>919.42</v>
      </c>
      <c r="R89" s="3">
        <v>26.15</v>
      </c>
      <c r="S89" s="3">
        <v>1.58</v>
      </c>
      <c r="T89" s="9">
        <v>1.6081838937778457E-2</v>
      </c>
      <c r="U89" s="9">
        <v>1.5827306739967486E-2</v>
      </c>
      <c r="V89" s="9">
        <f t="shared" si="13"/>
        <v>1.8663940310195526E-2</v>
      </c>
      <c r="W89" s="9">
        <f t="shared" si="14"/>
        <v>-5.1823319916664001E-2</v>
      </c>
    </row>
    <row r="90" spans="2:23">
      <c r="B90" s="3" t="s">
        <v>101</v>
      </c>
      <c r="C90" s="3" t="s">
        <v>102</v>
      </c>
      <c r="D90" s="3">
        <v>1892.17</v>
      </c>
      <c r="E90" s="3">
        <v>349797.1</v>
      </c>
      <c r="F90" s="3">
        <v>1944.22</v>
      </c>
      <c r="G90" s="3">
        <v>3.42</v>
      </c>
      <c r="H90" s="3">
        <v>1892.17</v>
      </c>
      <c r="I90" s="3">
        <v>1897.68</v>
      </c>
      <c r="J90" s="12">
        <v>2098.7899940000002</v>
      </c>
      <c r="K90" s="12">
        <v>2117.7173210000001</v>
      </c>
      <c r="L90">
        <v>15.305595</v>
      </c>
      <c r="M90" s="3">
        <v>1948.52</v>
      </c>
      <c r="N90" s="3">
        <v>1970.49</v>
      </c>
      <c r="O90" s="3">
        <v>49.93</v>
      </c>
      <c r="P90" s="3">
        <v>1943.22</v>
      </c>
      <c r="Q90" s="3">
        <v>1974.55</v>
      </c>
      <c r="R90" s="3">
        <v>54.89</v>
      </c>
      <c r="S90" s="3">
        <v>2.63</v>
      </c>
      <c r="T90" s="9">
        <v>-5.1434508440402829E-4</v>
      </c>
      <c r="U90" s="9">
        <v>2.6270828830497809E-2</v>
      </c>
      <c r="V90" s="9">
        <f t="shared" si="13"/>
        <v>4.1720898432554193E-2</v>
      </c>
      <c r="W90" s="9">
        <f t="shared" si="14"/>
        <v>-8.0057839050647991E-2</v>
      </c>
    </row>
    <row r="91" spans="2:23">
      <c r="B91" s="3" t="s">
        <v>103</v>
      </c>
      <c r="C91" s="3" t="s">
        <v>102</v>
      </c>
      <c r="D91" s="3">
        <v>1960.02</v>
      </c>
      <c r="E91" s="3">
        <v>252301.8</v>
      </c>
      <c r="F91" s="3">
        <v>2038.57</v>
      </c>
      <c r="G91" s="3">
        <v>3.18</v>
      </c>
      <c r="H91" s="3">
        <v>1965.12</v>
      </c>
      <c r="I91" s="3">
        <v>1945.58</v>
      </c>
      <c r="J91" s="12">
        <v>2099.9611719999998</v>
      </c>
      <c r="K91" s="12">
        <v>2131.3786420000001</v>
      </c>
      <c r="L91">
        <v>16.301627</v>
      </c>
      <c r="M91" s="3">
        <v>2016.32</v>
      </c>
      <c r="N91" s="3">
        <v>2033.41</v>
      </c>
      <c r="O91" s="3">
        <v>52.87</v>
      </c>
      <c r="P91" s="3">
        <v>2017.61</v>
      </c>
      <c r="Q91" s="3">
        <v>2029.2</v>
      </c>
      <c r="R91" s="3">
        <v>61.98</v>
      </c>
      <c r="S91" s="3">
        <v>2.94</v>
      </c>
      <c r="T91" s="9">
        <v>-1.0281717085996575E-2</v>
      </c>
      <c r="U91" s="9">
        <v>2.6015929738651182E-2</v>
      </c>
      <c r="V91" s="9">
        <f t="shared" si="13"/>
        <v>3.4092253104671823E-2</v>
      </c>
      <c r="W91" s="9">
        <f t="shared" si="14"/>
        <v>-4.0816199364594699E-2</v>
      </c>
    </row>
    <row r="92" spans="2:23">
      <c r="B92" s="4" t="s">
        <v>104</v>
      </c>
      <c r="C92" s="4" t="s">
        <v>102</v>
      </c>
      <c r="D92" s="4">
        <v>1443.33</v>
      </c>
      <c r="E92" s="4">
        <v>18604.02</v>
      </c>
      <c r="F92" s="4">
        <v>1531.33</v>
      </c>
      <c r="G92" s="4">
        <v>3.9</v>
      </c>
      <c r="H92" s="4">
        <v>1443.32</v>
      </c>
      <c r="I92" s="4">
        <v>1698.19</v>
      </c>
      <c r="J92" s="12">
        <v>1479.332596</v>
      </c>
      <c r="K92" s="12">
        <v>1583.540632</v>
      </c>
      <c r="L92">
        <v>12.342442</v>
      </c>
      <c r="M92" s="4">
        <v>1449.02</v>
      </c>
      <c r="N92" s="4">
        <v>1499.48</v>
      </c>
      <c r="O92" s="4">
        <v>60.92</v>
      </c>
      <c r="P92" s="4">
        <v>1445.96</v>
      </c>
      <c r="Q92" s="4">
        <v>1497.21</v>
      </c>
      <c r="R92" s="4">
        <v>70.010000000000005</v>
      </c>
      <c r="S92" s="4">
        <v>0.18</v>
      </c>
      <c r="T92" s="10">
        <v>-5.574892413784089E-2</v>
      </c>
      <c r="U92" s="10">
        <v>1.8257766466569614E-3</v>
      </c>
      <c r="V92" s="9">
        <f t="shared" si="13"/>
        <v>3.5986935700402824E-2</v>
      </c>
      <c r="W92" s="9">
        <f t="shared" si="14"/>
        <v>-2.30798887936042E-2</v>
      </c>
    </row>
    <row r="93" spans="2:23">
      <c r="B93" s="3" t="s">
        <v>14</v>
      </c>
      <c r="C93" s="3"/>
      <c r="D93" s="11">
        <f>AVERAGE(D84:D92)</f>
        <v>1361.9244444444446</v>
      </c>
      <c r="E93" s="11">
        <f t="shared" ref="E93:U93" si="15">AVERAGE(E84:E92)</f>
        <v>91191.637777777782</v>
      </c>
      <c r="F93" s="11">
        <f t="shared" si="15"/>
        <v>1404.3422222222223</v>
      </c>
      <c r="G93" s="11">
        <f t="shared" si="15"/>
        <v>3.4444444444444446</v>
      </c>
      <c r="H93" s="11">
        <f t="shared" si="15"/>
        <v>1362.5177777777778</v>
      </c>
      <c r="I93" s="11">
        <f>AVERAGE(I84:I92)</f>
        <v>1358.3177777777778</v>
      </c>
      <c r="J93" s="16">
        <f t="shared" ref="J93:L93" si="16">AVERAGE(J84:J92)</f>
        <v>1426.606551111111</v>
      </c>
      <c r="K93" s="16">
        <f t="shared" si="16"/>
        <v>1529.2807325555555</v>
      </c>
      <c r="L93" s="16">
        <f t="shared" si="16"/>
        <v>12.829970222222222</v>
      </c>
      <c r="M93" s="11">
        <f t="shared" si="15"/>
        <v>1397.3044444444445</v>
      </c>
      <c r="N93" s="11">
        <f t="shared" si="15"/>
        <v>1417.38</v>
      </c>
      <c r="O93" s="11">
        <f t="shared" si="15"/>
        <v>34.955555555555556</v>
      </c>
      <c r="P93" s="11">
        <f t="shared" si="15"/>
        <v>1394.5833333333333</v>
      </c>
      <c r="Q93" s="11">
        <f t="shared" si="15"/>
        <v>1417.4333333333334</v>
      </c>
      <c r="R93" s="11">
        <f t="shared" si="15"/>
        <v>37.925555555555562</v>
      </c>
      <c r="S93" s="3">
        <f>AVERAGE(S84:S92)</f>
        <v>2.3333333333333335</v>
      </c>
      <c r="T93" s="9">
        <f t="shared" si="15"/>
        <v>-3.9745259589857411E-3</v>
      </c>
      <c r="U93" s="9">
        <f t="shared" si="15"/>
        <v>2.2942223486383001E-2</v>
      </c>
      <c r="V93" s="9">
        <f>AVERAGE(V84:V92)</f>
        <v>3.8674307454633676E-2</v>
      </c>
      <c r="W93" s="9">
        <f>AVERAGE(W84:W92)</f>
        <v>-2.1449803943911449E-2</v>
      </c>
    </row>
    <row r="94" spans="2:23">
      <c r="B94" s="3"/>
      <c r="C94" s="3"/>
      <c r="D94" s="3"/>
      <c r="E94" s="3"/>
      <c r="F94" s="3"/>
      <c r="G94" s="3"/>
      <c r="H94" s="3"/>
      <c r="I94" s="3"/>
      <c r="J94" s="6"/>
      <c r="K94" s="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2:23">
      <c r="B95" s="3"/>
      <c r="C95" s="3"/>
      <c r="D95" s="3"/>
      <c r="E95" s="3"/>
      <c r="F95" s="3"/>
      <c r="G95" s="3"/>
      <c r="H95" s="3"/>
      <c r="I95" s="3"/>
      <c r="J95" s="6"/>
      <c r="K95" s="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2:23">
      <c r="B96" s="1"/>
      <c r="C96" s="1"/>
      <c r="D96" s="24" t="s">
        <v>111</v>
      </c>
      <c r="E96" s="24"/>
      <c r="F96" s="25" t="s">
        <v>0</v>
      </c>
      <c r="G96" s="25"/>
      <c r="H96" s="25" t="s">
        <v>1</v>
      </c>
      <c r="I96" s="25"/>
      <c r="J96" s="25" t="s">
        <v>2</v>
      </c>
      <c r="K96" s="25"/>
      <c r="L96" s="25"/>
      <c r="M96" s="25" t="s">
        <v>3</v>
      </c>
      <c r="N96" s="25"/>
      <c r="O96" s="25"/>
      <c r="P96" s="25" t="s">
        <v>4</v>
      </c>
      <c r="Q96" s="25"/>
      <c r="R96" s="25"/>
      <c r="S96" s="25"/>
      <c r="T96" s="25"/>
      <c r="U96" s="25"/>
      <c r="V96" s="25"/>
      <c r="W96" s="25"/>
    </row>
    <row r="97" spans="2:23">
      <c r="B97" s="2" t="s">
        <v>5</v>
      </c>
      <c r="C97" s="2" t="s">
        <v>6</v>
      </c>
      <c r="D97" s="2" t="s">
        <v>7</v>
      </c>
      <c r="E97" s="2" t="s">
        <v>8</v>
      </c>
      <c r="F97" s="4" t="s">
        <v>9</v>
      </c>
      <c r="G97" s="4" t="s">
        <v>10</v>
      </c>
      <c r="H97" s="4" t="s">
        <v>9</v>
      </c>
      <c r="I97" s="4" t="s">
        <v>10</v>
      </c>
      <c r="J97" s="5" t="s">
        <v>11</v>
      </c>
      <c r="K97" s="5" t="s">
        <v>12</v>
      </c>
      <c r="L97" s="4" t="s">
        <v>13</v>
      </c>
      <c r="M97" s="4" t="s">
        <v>11</v>
      </c>
      <c r="N97" s="4" t="s">
        <v>14</v>
      </c>
      <c r="O97" s="4" t="s">
        <v>13</v>
      </c>
      <c r="P97" s="4" t="s">
        <v>9</v>
      </c>
      <c r="Q97" s="4" t="s">
        <v>15</v>
      </c>
      <c r="R97" s="4" t="s">
        <v>13</v>
      </c>
      <c r="S97" s="2" t="s">
        <v>16</v>
      </c>
      <c r="T97" s="2" t="s">
        <v>17</v>
      </c>
      <c r="U97" s="2" t="s">
        <v>18</v>
      </c>
      <c r="V97" s="4" t="s">
        <v>19</v>
      </c>
      <c r="W97" s="4" t="s">
        <v>20</v>
      </c>
    </row>
    <row r="98" spans="2:23">
      <c r="B98" s="3" t="s">
        <v>105</v>
      </c>
      <c r="C98" s="3" t="s">
        <v>106</v>
      </c>
      <c r="D98" s="3">
        <v>1352.93</v>
      </c>
      <c r="E98" s="3">
        <v>385883.92</v>
      </c>
      <c r="F98" s="29" t="s">
        <v>112</v>
      </c>
      <c r="G98" s="29"/>
      <c r="H98" s="29"/>
      <c r="I98" s="29"/>
      <c r="J98" s="17">
        <v>1510.726514</v>
      </c>
      <c r="K98" s="17">
        <v>1627.042776</v>
      </c>
      <c r="L98" s="18">
        <v>13.276199999999999</v>
      </c>
      <c r="M98" s="3">
        <v>1404.21</v>
      </c>
      <c r="N98" s="3">
        <v>1418.84</v>
      </c>
      <c r="O98" s="3">
        <v>55.21</v>
      </c>
      <c r="P98" s="3">
        <v>1399.82</v>
      </c>
      <c r="Q98" s="3">
        <v>1415.34</v>
      </c>
      <c r="R98" s="3">
        <v>67.2</v>
      </c>
      <c r="S98" s="3">
        <v>3.35</v>
      </c>
      <c r="T98" s="3"/>
      <c r="U98" s="9"/>
      <c r="V98" s="3">
        <v>4.41</v>
      </c>
      <c r="W98" s="9">
        <f>(P98-J98)/P98</f>
        <v>-7.9229125173236575E-2</v>
      </c>
    </row>
    <row r="99" spans="2:23">
      <c r="B99" s="3" t="s">
        <v>107</v>
      </c>
      <c r="C99" s="3" t="s">
        <v>106</v>
      </c>
      <c r="D99" s="3">
        <v>1212.46</v>
      </c>
      <c r="E99" s="3">
        <v>392271.48</v>
      </c>
      <c r="F99" s="30"/>
      <c r="G99" s="30"/>
      <c r="H99" s="30"/>
      <c r="I99" s="30"/>
      <c r="J99" s="17">
        <v>1307.4560469999999</v>
      </c>
      <c r="K99" s="17">
        <v>1454.4148990000001</v>
      </c>
      <c r="L99" s="18">
        <v>17.236000000000001</v>
      </c>
      <c r="M99" s="3">
        <v>1256.73</v>
      </c>
      <c r="N99" s="3">
        <v>1275.22</v>
      </c>
      <c r="O99" s="3">
        <v>60.61</v>
      </c>
      <c r="P99" s="3">
        <v>1253.99</v>
      </c>
      <c r="Q99" s="3">
        <v>1271.23</v>
      </c>
      <c r="R99" s="3">
        <v>69.010000000000005</v>
      </c>
      <c r="S99" s="3">
        <v>3.31</v>
      </c>
      <c r="T99" s="3"/>
      <c r="U99" s="9"/>
      <c r="V99" s="3">
        <v>4.62</v>
      </c>
      <c r="W99" s="9">
        <f t="shared" ref="W99:W101" si="17">(P99-J99)/P99</f>
        <v>-4.263674112233741E-2</v>
      </c>
    </row>
    <row r="100" spans="2:23">
      <c r="B100" s="3" t="s">
        <v>108</v>
      </c>
      <c r="C100" s="3" t="s">
        <v>109</v>
      </c>
      <c r="D100" s="3">
        <v>1644.35</v>
      </c>
      <c r="E100" s="3">
        <v>680945.21</v>
      </c>
      <c r="F100" s="30"/>
      <c r="G100" s="30"/>
      <c r="H100" s="30"/>
      <c r="I100" s="30"/>
      <c r="J100" s="17">
        <v>1786.7437890000001</v>
      </c>
      <c r="K100" s="17">
        <v>1912.496515</v>
      </c>
      <c r="L100" s="18">
        <v>33.23751</v>
      </c>
      <c r="M100" s="3">
        <v>1708.21</v>
      </c>
      <c r="N100" s="3">
        <v>1730.32</v>
      </c>
      <c r="O100" s="3">
        <v>78.209999999999994</v>
      </c>
      <c r="P100" s="3">
        <v>1701.98</v>
      </c>
      <c r="Q100" s="3">
        <v>1731.23</v>
      </c>
      <c r="R100" s="3">
        <v>83.82</v>
      </c>
      <c r="S100" s="3">
        <v>3.39</v>
      </c>
      <c r="T100" s="3"/>
      <c r="U100" s="9"/>
      <c r="V100" s="3">
        <v>5.0199999999999996</v>
      </c>
      <c r="W100" s="9">
        <f t="shared" si="17"/>
        <v>-4.9803046451779742E-2</v>
      </c>
    </row>
    <row r="101" spans="2:23">
      <c r="B101" s="3" t="s">
        <v>110</v>
      </c>
      <c r="C101" s="3" t="s">
        <v>109</v>
      </c>
      <c r="D101" s="3">
        <v>1480.43</v>
      </c>
      <c r="E101" s="3">
        <v>1074614.48</v>
      </c>
      <c r="F101" s="31"/>
      <c r="G101" s="31"/>
      <c r="H101" s="31"/>
      <c r="I101" s="31"/>
      <c r="J101" s="17">
        <v>1591.7433060000001</v>
      </c>
      <c r="K101" s="17">
        <v>1703.8613350000001</v>
      </c>
      <c r="L101" s="18">
        <v>44.226730000000003</v>
      </c>
      <c r="M101" s="3">
        <v>1534.88</v>
      </c>
      <c r="N101" s="3">
        <v>1554.75</v>
      </c>
      <c r="O101" s="3">
        <v>80.73</v>
      </c>
      <c r="P101" s="3">
        <v>1531.43</v>
      </c>
      <c r="Q101" s="3">
        <v>1549.12</v>
      </c>
      <c r="R101" s="3">
        <v>89.67</v>
      </c>
      <c r="S101" s="3">
        <v>3.33</v>
      </c>
      <c r="T101" s="3"/>
      <c r="U101" s="9"/>
      <c r="V101" s="3">
        <v>4.43</v>
      </c>
      <c r="W101" s="9">
        <f t="shared" si="17"/>
        <v>-3.9383651880921758E-2</v>
      </c>
    </row>
    <row r="102" spans="2:23">
      <c r="B102" s="2" t="s">
        <v>14</v>
      </c>
      <c r="C102" s="2"/>
      <c r="D102" s="21">
        <f>AVERAGE(D98:D101)</f>
        <v>1422.5425</v>
      </c>
      <c r="E102" s="21">
        <f>AVERAGE(E98:E101)</f>
        <v>633428.77249999996</v>
      </c>
      <c r="F102" s="21"/>
      <c r="G102" s="21"/>
      <c r="H102" s="21"/>
      <c r="I102" s="21"/>
      <c r="J102" s="22">
        <f>AVERAGE(J98:J101)</f>
        <v>1549.167414</v>
      </c>
      <c r="K102" s="22">
        <f t="shared" ref="K102" si="18">AVERAGE(K98:K101)</f>
        <v>1674.45388125</v>
      </c>
      <c r="L102" s="21">
        <f>AVERAGE(L98:L101)</f>
        <v>26.994109999999999</v>
      </c>
      <c r="M102" s="21">
        <f t="shared" ref="M102:S102" si="19">AVERAGE(M98:M101)</f>
        <v>1476.0074999999999</v>
      </c>
      <c r="N102" s="21">
        <f t="shared" si="19"/>
        <v>1494.7825</v>
      </c>
      <c r="O102" s="21">
        <f t="shared" si="19"/>
        <v>68.69</v>
      </c>
      <c r="P102" s="21">
        <f t="shared" si="19"/>
        <v>1471.8050000000001</v>
      </c>
      <c r="Q102" s="21">
        <f t="shared" si="19"/>
        <v>1491.7299999999998</v>
      </c>
      <c r="R102" s="21">
        <f t="shared" si="19"/>
        <v>77.424999999999997</v>
      </c>
      <c r="S102" s="21">
        <f t="shared" si="19"/>
        <v>3.3450000000000002</v>
      </c>
      <c r="T102" s="2"/>
      <c r="U102" s="20"/>
      <c r="V102" s="2">
        <f>AVERAGE(V98:V101)</f>
        <v>4.62</v>
      </c>
      <c r="W102" s="20">
        <f>AVERAGE(W98:W101)</f>
        <v>-5.2763141157068871E-2</v>
      </c>
    </row>
  </sheetData>
  <mergeCells count="33">
    <mergeCell ref="F98:I101"/>
    <mergeCell ref="D60:E60"/>
    <mergeCell ref="F60:G60"/>
    <mergeCell ref="J3:L3"/>
    <mergeCell ref="M3:O3"/>
    <mergeCell ref="P3:W3"/>
    <mergeCell ref="F23:G52"/>
    <mergeCell ref="H60:I60"/>
    <mergeCell ref="J60:L60"/>
    <mergeCell ref="M60:O60"/>
    <mergeCell ref="P60:W60"/>
    <mergeCell ref="F82:G82"/>
    <mergeCell ref="H82:I82"/>
    <mergeCell ref="F62:I73"/>
    <mergeCell ref="H21:I21"/>
    <mergeCell ref="J21:L21"/>
    <mergeCell ref="M21:O21"/>
    <mergeCell ref="P21:W21"/>
    <mergeCell ref="D3:E3"/>
    <mergeCell ref="F3:G3"/>
    <mergeCell ref="H3:I3"/>
    <mergeCell ref="D21:E21"/>
    <mergeCell ref="F21:G21"/>
    <mergeCell ref="D82:E82"/>
    <mergeCell ref="J82:L82"/>
    <mergeCell ref="M82:O82"/>
    <mergeCell ref="P82:W82"/>
    <mergeCell ref="D96:E96"/>
    <mergeCell ref="J96:L96"/>
    <mergeCell ref="M96:O96"/>
    <mergeCell ref="P96:W96"/>
    <mergeCell ref="F96:G96"/>
    <mergeCell ref="H96:I9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培松 刘</dc:creator>
  <cp:lastModifiedBy>培松 刘</cp:lastModifiedBy>
  <dcterms:created xsi:type="dcterms:W3CDTF">2026-04-20T01:52:03Z</dcterms:created>
  <dcterms:modified xsi:type="dcterms:W3CDTF">2026-04-20T07:19:00Z</dcterms:modified>
</cp:coreProperties>
</file>